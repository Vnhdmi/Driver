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BB7393B6-09B9-4377-95EC-CE60C9333492}" xr6:coauthVersionLast="36" xr6:coauthVersionMax="47" xr10:uidLastSave="{00000000-0000-0000-0000-000000000000}"/>
  <bookViews>
    <workbookView xWindow="3840" yWindow="1790" windowWidth="21600" windowHeight="11300" activeTab="1" xr2:uid="{44A07127-95CF-454E-8875-3E47D6CD68B3}"/>
  </bookViews>
  <sheets>
    <sheet name="関数・セル" sheetId="12" r:id="rId1"/>
    <sheet name="テーブル" sheetId="8" r:id="rId2"/>
    <sheet name="ピボットテーブル" sheetId="6" r:id="rId3"/>
  </sheets>
  <externalReferences>
    <externalReference r:id="rId4"/>
  </externalReferences>
  <definedNames>
    <definedName name="オプションリスト" localSheetId="1">[1]!オプションマスター[オプション]</definedName>
    <definedName name="オプションリスト">#REF!</definedName>
    <definedName name="会員番号リスト" localSheetId="1">[1]!会員マスター[会員番号]</definedName>
    <definedName name="会員番号リスト">#REF!</definedName>
    <definedName name="森川売上">#REF!</definedName>
    <definedName name="長谷川売上">#REF!</definedName>
    <definedName name="里中売上">#REF!</definedName>
    <definedName name="鈴木売上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2" l="1"/>
  <c r="G16" i="12"/>
  <c r="G15" i="12"/>
  <c r="G14" i="12"/>
  <c r="G13" i="12"/>
  <c r="G12" i="12"/>
  <c r="G10" i="12"/>
  <c r="G9" i="12"/>
  <c r="G8" i="12"/>
  <c r="G7" i="12"/>
  <c r="G6" i="12"/>
  <c r="G5" i="12"/>
  <c r="H5" i="6" a="1"/>
  <c r="H5" i="6" s="1"/>
  <c r="F5" i="6" a="1"/>
  <c r="G11" i="12" l="1"/>
  <c r="F5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<sst xmlns="http://schemas.openxmlformats.org/spreadsheetml/2006/main" count="217" uniqueCount="86">
  <si>
    <t>店舗別新規会員数一覧表</t>
    <rPh sb="0" eb="2">
      <t>テンポ</t>
    </rPh>
    <rPh sb="2" eb="3">
      <t>ベツ</t>
    </rPh>
    <rPh sb="3" eb="5">
      <t>シンキ</t>
    </rPh>
    <rPh sb="5" eb="8">
      <t>カイインスウ</t>
    </rPh>
    <rPh sb="8" eb="10">
      <t>イチラン</t>
    </rPh>
    <rPh sb="10" eb="11">
      <t>ヒョウ</t>
    </rPh>
    <phoneticPr fontId="1"/>
  </si>
  <si>
    <t>一覧表</t>
    <rPh sb="0" eb="2">
      <t>イチラン</t>
    </rPh>
    <rPh sb="2" eb="3">
      <t>ヒョウ</t>
    </rPh>
    <phoneticPr fontId="1"/>
  </si>
  <si>
    <t>売上月</t>
    <rPh sb="0" eb="2">
      <t>ウリアゲ</t>
    </rPh>
    <rPh sb="2" eb="3">
      <t>ツキ</t>
    </rPh>
    <phoneticPr fontId="1"/>
  </si>
  <si>
    <t>地区</t>
    <rPh sb="0" eb="2">
      <t>チク</t>
    </rPh>
    <phoneticPr fontId="1"/>
  </si>
  <si>
    <t>目標数</t>
    <rPh sb="0" eb="2">
      <t>モクヒョウ</t>
    </rPh>
    <rPh sb="2" eb="3">
      <t>スウ</t>
    </rPh>
    <phoneticPr fontId="1"/>
  </si>
  <si>
    <t>新規会員数</t>
    <rPh sb="0" eb="2">
      <t>シンキ</t>
    </rPh>
    <rPh sb="2" eb="4">
      <t>カイイン</t>
    </rPh>
    <rPh sb="4" eb="5">
      <t>スウ</t>
    </rPh>
    <phoneticPr fontId="1"/>
  </si>
  <si>
    <t>達成率</t>
    <rPh sb="0" eb="3">
      <t>タッセイリツ</t>
    </rPh>
    <phoneticPr fontId="1"/>
  </si>
  <si>
    <t>前年度実績</t>
    <rPh sb="0" eb="3">
      <t>ゼンネンド</t>
    </rPh>
    <rPh sb="3" eb="5">
      <t>ジッセキ</t>
    </rPh>
    <phoneticPr fontId="1"/>
  </si>
  <si>
    <t>前年同期比</t>
    <rPh sb="0" eb="2">
      <t>ゼンネン</t>
    </rPh>
    <rPh sb="2" eb="5">
      <t>ドウキヒ</t>
    </rPh>
    <phoneticPr fontId="1"/>
  </si>
  <si>
    <t>評価</t>
    <rPh sb="0" eb="2">
      <t>ヒョウカ</t>
    </rPh>
    <phoneticPr fontId="1"/>
  </si>
  <si>
    <t>北地区</t>
    <rPh sb="0" eb="3">
      <t>キタチク</t>
    </rPh>
    <phoneticPr fontId="1"/>
  </si>
  <si>
    <t>緑ヶ丘店</t>
    <rPh sb="0" eb="3">
      <t>ミドリガオカ</t>
    </rPh>
    <rPh sb="3" eb="4">
      <t>テン</t>
    </rPh>
    <phoneticPr fontId="1"/>
  </si>
  <si>
    <t>友沢店</t>
    <rPh sb="0" eb="3">
      <t>トモサワテン</t>
    </rPh>
    <phoneticPr fontId="1"/>
  </si>
  <si>
    <t>中地区</t>
    <rPh sb="0" eb="3">
      <t>ナカチク</t>
    </rPh>
    <phoneticPr fontId="1"/>
  </si>
  <si>
    <t>中林店</t>
    <rPh sb="0" eb="2">
      <t>ナカバヤシ</t>
    </rPh>
    <rPh sb="2" eb="3">
      <t>テン</t>
    </rPh>
    <phoneticPr fontId="1"/>
  </si>
  <si>
    <t>駅前店</t>
    <rPh sb="0" eb="3">
      <t>エキマエテン</t>
    </rPh>
    <phoneticPr fontId="1"/>
  </si>
  <si>
    <t>南地区</t>
    <rPh sb="0" eb="3">
      <t>ミナミチク</t>
    </rPh>
    <phoneticPr fontId="1"/>
  </si>
  <si>
    <t>栄川店</t>
    <rPh sb="0" eb="2">
      <t>サカエガワ</t>
    </rPh>
    <rPh sb="2" eb="3">
      <t>テン</t>
    </rPh>
    <phoneticPr fontId="1"/>
  </si>
  <si>
    <t>城南店</t>
    <rPh sb="0" eb="2">
      <t>ジョウナン</t>
    </rPh>
    <rPh sb="2" eb="3">
      <t>テン</t>
    </rPh>
    <phoneticPr fontId="1"/>
  </si>
  <si>
    <t>店舗</t>
    <rPh sb="0" eb="2">
      <t>テンポ</t>
    </rPh>
    <phoneticPr fontId="1"/>
  </si>
  <si>
    <t>集計表</t>
    <rPh sb="0" eb="3">
      <t>シュウケイヒョウ</t>
    </rPh>
    <phoneticPr fontId="1"/>
  </si>
  <si>
    <t>研修申込集計表</t>
    <rPh sb="0" eb="4">
      <t>ケンシュウモウシコミ</t>
    </rPh>
    <rPh sb="4" eb="7">
      <t>シュウケイヒョウ</t>
    </rPh>
    <phoneticPr fontId="1"/>
  </si>
  <si>
    <t>現在</t>
    <rPh sb="0" eb="2">
      <t>ゲンザイ</t>
    </rPh>
    <phoneticPr fontId="1"/>
  </si>
  <si>
    <t>研修日</t>
    <rPh sb="0" eb="2">
      <t>ケンシュウ</t>
    </rPh>
    <rPh sb="2" eb="3">
      <t>ビ</t>
    </rPh>
    <phoneticPr fontId="1"/>
  </si>
  <si>
    <t>開催場所</t>
    <rPh sb="0" eb="4">
      <t>カイサイバショ</t>
    </rPh>
    <phoneticPr fontId="1"/>
  </si>
  <si>
    <t>研修名</t>
    <rPh sb="0" eb="3">
      <t>ケンシュウメイ</t>
    </rPh>
    <phoneticPr fontId="1"/>
  </si>
  <si>
    <t>講師</t>
    <rPh sb="0" eb="2">
      <t>コウシ</t>
    </rPh>
    <phoneticPr fontId="1"/>
  </si>
  <si>
    <t>対象者</t>
    <rPh sb="0" eb="3">
      <t>タイショウシャ</t>
    </rPh>
    <phoneticPr fontId="1"/>
  </si>
  <si>
    <t>定員</t>
    <rPh sb="0" eb="2">
      <t>テイイン</t>
    </rPh>
    <phoneticPr fontId="1"/>
  </si>
  <si>
    <t>申込数</t>
    <rPh sb="0" eb="3">
      <t>モウシコミスウ</t>
    </rPh>
    <phoneticPr fontId="1"/>
  </si>
  <si>
    <t>東京A</t>
  </si>
  <si>
    <t>リーダーシップ</t>
  </si>
  <si>
    <t>渡辺　奈美</t>
  </si>
  <si>
    <t>中堅社員</t>
  </si>
  <si>
    <t>大阪A</t>
  </si>
  <si>
    <t>ビジネスマナー</t>
  </si>
  <si>
    <t>飯塚　由美子</t>
  </si>
  <si>
    <t>若手社員</t>
  </si>
  <si>
    <t>大阪B</t>
  </si>
  <si>
    <t>情報セキュリティ</t>
  </si>
  <si>
    <t>横山　正幸</t>
  </si>
  <si>
    <t>東京B</t>
  </si>
  <si>
    <t>ハラスメント</t>
  </si>
  <si>
    <t>高橋　麻紀</t>
  </si>
  <si>
    <t>クレーム対応</t>
  </si>
  <si>
    <t>田中　健太郎</t>
  </si>
  <si>
    <t>労務管理</t>
    <rPh sb="0" eb="4">
      <t>ロウムカンリ</t>
    </rPh>
    <phoneticPr fontId="1"/>
  </si>
  <si>
    <t>塚田　雄二</t>
  </si>
  <si>
    <t>大阪A</t>
    <rPh sb="0" eb="2">
      <t>オオサカ</t>
    </rPh>
    <phoneticPr fontId="1"/>
  </si>
  <si>
    <t>コワーキングスペース利用表</t>
    <rPh sb="10" eb="12">
      <t>リヨウ</t>
    </rPh>
    <rPh sb="12" eb="13">
      <t>ヒョウ</t>
    </rPh>
    <phoneticPr fontId="1"/>
  </si>
  <si>
    <t>利用表</t>
    <rPh sb="0" eb="2">
      <t>リヨウ</t>
    </rPh>
    <rPh sb="2" eb="3">
      <t>ヒョウ</t>
    </rPh>
    <phoneticPr fontId="1"/>
  </si>
  <si>
    <t>会員一覧</t>
    <rPh sb="0" eb="2">
      <t>カイイン</t>
    </rPh>
    <rPh sb="2" eb="4">
      <t>イチラン</t>
    </rPh>
    <phoneticPr fontId="1"/>
  </si>
  <si>
    <t>日付</t>
    <rPh sb="0" eb="2">
      <t>ヒヅケ</t>
    </rPh>
    <phoneticPr fontId="1"/>
  </si>
  <si>
    <t>会員番号</t>
    <rPh sb="0" eb="2">
      <t>カイイン</t>
    </rPh>
    <rPh sb="2" eb="4">
      <t>バンゴウ</t>
    </rPh>
    <phoneticPr fontId="1"/>
  </si>
  <si>
    <t>会員名</t>
    <rPh sb="0" eb="3">
      <t>カイインメイ</t>
    </rPh>
    <phoneticPr fontId="1"/>
  </si>
  <si>
    <t>コース</t>
  </si>
  <si>
    <t>会員番号</t>
    <rPh sb="0" eb="4">
      <t>カイインバンゴウ</t>
    </rPh>
    <phoneticPr fontId="1"/>
  </si>
  <si>
    <t>料金</t>
    <rPh sb="0" eb="2">
      <t>リョウキン</t>
    </rPh>
    <phoneticPr fontId="1"/>
  </si>
  <si>
    <t>Z02152</t>
  </si>
  <si>
    <t>Z02151</t>
  </si>
  <si>
    <t>吉田　裕子</t>
    <rPh sb="0" eb="2">
      <t>ヨシダ</t>
    </rPh>
    <rPh sb="3" eb="5">
      <t>ユウコ</t>
    </rPh>
    <phoneticPr fontId="1"/>
  </si>
  <si>
    <t>Z02154</t>
  </si>
  <si>
    <t>葉山　浩太</t>
    <rPh sb="0" eb="2">
      <t>ハヤマ</t>
    </rPh>
    <rPh sb="3" eb="5">
      <t>コウタ</t>
    </rPh>
    <phoneticPr fontId="1"/>
  </si>
  <si>
    <t>Z02156</t>
  </si>
  <si>
    <t>Z02153</t>
  </si>
  <si>
    <t>湯沢　智弘</t>
    <rPh sb="0" eb="2">
      <t>ユザワ</t>
    </rPh>
    <rPh sb="3" eb="5">
      <t>トモヒロ</t>
    </rPh>
    <phoneticPr fontId="1"/>
  </si>
  <si>
    <t>Z02157</t>
  </si>
  <si>
    <t>高山　桃子</t>
    <rPh sb="0" eb="2">
      <t>タカヤマ</t>
    </rPh>
    <rPh sb="3" eb="5">
      <t>モモコ</t>
    </rPh>
    <phoneticPr fontId="1"/>
  </si>
  <si>
    <t>Z02155</t>
  </si>
  <si>
    <t>斎藤　明弘</t>
    <rPh sb="0" eb="2">
      <t>サイトウ</t>
    </rPh>
    <rPh sb="3" eb="5">
      <t>アキヒロ</t>
    </rPh>
    <phoneticPr fontId="1"/>
  </si>
  <si>
    <t>香川　実</t>
    <rPh sb="0" eb="2">
      <t>カガワ</t>
    </rPh>
    <rPh sb="3" eb="4">
      <t>ミノル</t>
    </rPh>
    <phoneticPr fontId="1"/>
  </si>
  <si>
    <t>高見沢　美穂</t>
    <rPh sb="0" eb="3">
      <t>タカミザワ</t>
    </rPh>
    <rPh sb="4" eb="6">
      <t>ミホ</t>
    </rPh>
    <phoneticPr fontId="1"/>
  </si>
  <si>
    <t>コース</t>
    <phoneticPr fontId="1"/>
  </si>
  <si>
    <t>料金一覧</t>
    <rPh sb="0" eb="4">
      <t>リョウキンイチラン</t>
    </rPh>
    <phoneticPr fontId="1"/>
  </si>
  <si>
    <t>コース別売上</t>
    <rPh sb="3" eb="4">
      <t>ベツ</t>
    </rPh>
    <rPh sb="4" eb="6">
      <t>ウリアゲ</t>
    </rPh>
    <phoneticPr fontId="1"/>
  </si>
  <si>
    <t>料金/時</t>
    <rPh sb="0" eb="2">
      <t>リョウキン</t>
    </rPh>
    <rPh sb="3" eb="4">
      <t>ジ</t>
    </rPh>
    <phoneticPr fontId="1"/>
  </si>
  <si>
    <t>ブロンズ</t>
    <phoneticPr fontId="1"/>
  </si>
  <si>
    <t>シルバー</t>
    <phoneticPr fontId="1"/>
  </si>
  <si>
    <t>ゴールド</t>
    <phoneticPr fontId="1"/>
  </si>
  <si>
    <t>利用時間</t>
    <rPh sb="0" eb="4">
      <t>リヨウジカン</t>
    </rPh>
    <phoneticPr fontId="1"/>
  </si>
  <si>
    <t>利用料金</t>
    <rPh sb="0" eb="4">
      <t>リヨウリョウキン</t>
    </rPh>
    <phoneticPr fontId="1"/>
  </si>
  <si>
    <t>売上合計</t>
    <rPh sb="0" eb="2">
      <t>ウリアゲ</t>
    </rPh>
    <rPh sb="2" eb="4">
      <t>ゴウケイ</t>
    </rPh>
    <phoneticPr fontId="1"/>
  </si>
  <si>
    <t>平均時間</t>
    <rPh sb="0" eb="4">
      <t>ヘイキンジカン</t>
    </rPh>
    <phoneticPr fontId="1"/>
  </si>
  <si>
    <t>平均利用時間</t>
    <rPh sb="0" eb="2">
      <t>ヘイキン</t>
    </rPh>
    <rPh sb="2" eb="4">
      <t>リヨウ</t>
    </rPh>
    <rPh sb="4" eb="6">
      <t>ジカン</t>
    </rPh>
    <phoneticPr fontId="1"/>
  </si>
  <si>
    <t>ブロンズ</t>
    <phoneticPr fontId="1"/>
  </si>
  <si>
    <t>シルバー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</si>
</sst>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&quot;月&quot;"/>
    <numFmt numFmtId="177" formatCode="m&quot;月&quot;d&quot;日&quot;;@"/>
    <numFmt numFmtId="178" formatCode="#,##0.0;[Red]\-#,##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</font>
    <font>
      <b/>
      <sz val="11"/>
      <color theme="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8"/>
      <color theme="1"/>
      <name val="HGP創英角ｺﾞｼｯｸUB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9" fontId="0" fillId="0" borderId="5" xfId="1" applyFont="1" applyBorder="1">
      <alignment vertical="center"/>
    </xf>
    <xf numFmtId="9" fontId="0" fillId="0" borderId="6" xfId="1" applyFon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0" xfId="0" applyFill="1" applyBorder="1">
      <alignment vertical="center"/>
    </xf>
    <xf numFmtId="0" fontId="4" fillId="3" borderId="5" xfId="0" applyFont="1" applyFill="1" applyBorder="1">
      <alignment vertical="center"/>
    </xf>
    <xf numFmtId="6" fontId="0" fillId="0" borderId="5" xfId="3" applyFont="1" applyBorder="1">
      <alignment vertical="center"/>
    </xf>
    <xf numFmtId="0" fontId="4" fillId="5" borderId="5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4" fillId="3" borderId="15" xfId="0" applyFont="1" applyFill="1" applyBorder="1">
      <alignment vertical="center"/>
    </xf>
    <xf numFmtId="0" fontId="0" fillId="4" borderId="14" xfId="0" applyFill="1" applyBorder="1">
      <alignment vertical="center"/>
    </xf>
    <xf numFmtId="6" fontId="0" fillId="4" borderId="15" xfId="3" applyFont="1" applyFill="1" applyBorder="1">
      <alignment vertical="center"/>
    </xf>
    <xf numFmtId="0" fontId="0" fillId="0" borderId="14" xfId="0" applyBorder="1">
      <alignment vertical="center"/>
    </xf>
    <xf numFmtId="6" fontId="0" fillId="0" borderId="15" xfId="3" applyFont="1" applyBorder="1">
      <alignment vertical="center"/>
    </xf>
    <xf numFmtId="6" fontId="0" fillId="4" borderId="12" xfId="3" applyFont="1" applyFill="1" applyBorder="1">
      <alignment vertical="center"/>
    </xf>
    <xf numFmtId="0" fontId="0" fillId="4" borderId="13" xfId="0" applyFill="1" applyBorder="1">
      <alignment vertical="center"/>
    </xf>
    <xf numFmtId="0" fontId="0" fillId="4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14" fontId="0" fillId="0" borderId="5" xfId="0" applyNumberFormat="1" applyBorder="1">
      <alignment vertical="center"/>
    </xf>
    <xf numFmtId="6" fontId="0" fillId="0" borderId="5" xfId="3" applyFont="1" applyFill="1" applyBorder="1">
      <alignment vertical="center"/>
    </xf>
    <xf numFmtId="38" fontId="0" fillId="0" borderId="5" xfId="2" applyFont="1" applyFill="1" applyBorder="1">
      <alignment vertical="center"/>
    </xf>
    <xf numFmtId="178" fontId="0" fillId="0" borderId="5" xfId="2" applyNumberFormat="1" applyFont="1" applyBorder="1">
      <alignment vertical="center"/>
    </xf>
    <xf numFmtId="0" fontId="6" fillId="0" borderId="0" xfId="0" applyFont="1" applyAlignment="1">
      <alignment horizontal="center" vertical="center"/>
    </xf>
  </cellXfs>
  <cellStyles count="4">
    <cellStyle name="パーセント" xfId="1" builtinId="5"/>
    <cellStyle name="桁区切り" xfId="2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8e6e7506c3cb35ee/KIYO/&#12304;AirCourse&#12305;Office&#35611;&#24231;/Excel365&#19978;&#32026;/&#12469;&#12531;&#12503;&#12523;&#12487;&#12540;&#12479;&#3859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データ処理に使える関数"/>
      <sheetName val="②データ分析に使える関数"/>
      <sheetName val="③テーブルの基本活用"/>
      <sheetName val="③テーブルの基本活用 (2)"/>
      <sheetName val="④テーブルの実践活用"/>
      <sheetName val="⑤ピボットテーブルの基本"/>
      <sheetName val="⑥ピボットテーブルの応用"/>
      <sheetName val="⑦グラフ作成の応用"/>
      <sheetName val="⑧AIを活用したデータ分析"/>
      <sheetName val="サンプルデータ集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6142-3E1C-4B62-9179-538CB67713C0}">
  <dimension ref="A1:K23"/>
  <sheetViews>
    <sheetView workbookViewId="0">
      <selection activeCell="G9" sqref="G9"/>
    </sheetView>
  </sheetViews>
  <sheetFormatPr defaultRowHeight="18" x14ac:dyDescent="0.55000000000000004"/>
  <cols>
    <col min="1" max="2" width="10.58203125" customWidth="1"/>
    <col min="3" max="4" width="14.58203125" customWidth="1"/>
    <col min="5" max="7" width="10.58203125" customWidth="1"/>
    <col min="9" max="9" width="10.58203125" customWidth="1"/>
    <col min="10" max="11" width="14.58203125" customWidth="1"/>
    <col min="13" max="13" width="20.58203125" customWidth="1"/>
    <col min="14" max="14" width="10.58203125" customWidth="1"/>
  </cols>
  <sheetData>
    <row r="1" spans="1:11" ht="22.5" x14ac:dyDescent="0.55000000000000004">
      <c r="A1" s="15" t="s">
        <v>49</v>
      </c>
    </row>
    <row r="2" spans="1:11" x14ac:dyDescent="0.55000000000000004">
      <c r="G2" t="s">
        <v>22</v>
      </c>
    </row>
    <row r="3" spans="1:11" x14ac:dyDescent="0.55000000000000004">
      <c r="A3" t="s">
        <v>50</v>
      </c>
      <c r="I3" t="s">
        <v>51</v>
      </c>
    </row>
    <row r="4" spans="1:11" x14ac:dyDescent="0.55000000000000004">
      <c r="A4" s="19" t="s">
        <v>52</v>
      </c>
      <c r="B4" s="19" t="s">
        <v>53</v>
      </c>
      <c r="C4" s="19" t="s">
        <v>54</v>
      </c>
      <c r="D4" s="19" t="s">
        <v>55</v>
      </c>
      <c r="E4" s="19" t="s">
        <v>75</v>
      </c>
      <c r="F4" s="19" t="s">
        <v>79</v>
      </c>
      <c r="G4" s="19" t="s">
        <v>80</v>
      </c>
      <c r="I4" s="22" t="s">
        <v>56</v>
      </c>
      <c r="J4" s="23" t="s">
        <v>54</v>
      </c>
      <c r="K4" s="24" t="s">
        <v>55</v>
      </c>
    </row>
    <row r="5" spans="1:11" x14ac:dyDescent="0.55000000000000004">
      <c r="A5" s="34">
        <v>46027</v>
      </c>
      <c r="B5" s="6" t="s">
        <v>58</v>
      </c>
      <c r="C5" s="6"/>
      <c r="D5" s="6"/>
      <c r="E5" s="35"/>
      <c r="F5" s="36">
        <v>8</v>
      </c>
      <c r="G5" s="35">
        <f>E5*F5</f>
        <v>0</v>
      </c>
      <c r="I5" s="30" t="s">
        <v>59</v>
      </c>
      <c r="J5" s="25" t="s">
        <v>60</v>
      </c>
      <c r="K5" s="31" t="s">
        <v>76</v>
      </c>
    </row>
    <row r="6" spans="1:11" x14ac:dyDescent="0.55000000000000004">
      <c r="A6" s="34">
        <v>46027</v>
      </c>
      <c r="B6" s="6" t="s">
        <v>61</v>
      </c>
      <c r="C6" s="6"/>
      <c r="D6" s="6"/>
      <c r="E6" s="35"/>
      <c r="F6" s="36">
        <v>6</v>
      </c>
      <c r="G6" s="35">
        <f t="shared" ref="G6:G17" si="0">E6*F6</f>
        <v>0</v>
      </c>
      <c r="I6" s="32" t="s">
        <v>58</v>
      </c>
      <c r="J6" s="27" t="s">
        <v>62</v>
      </c>
      <c r="K6" s="33" t="s">
        <v>77</v>
      </c>
    </row>
    <row r="7" spans="1:11" x14ac:dyDescent="0.55000000000000004">
      <c r="A7" s="34">
        <v>46027</v>
      </c>
      <c r="B7" s="6" t="s">
        <v>63</v>
      </c>
      <c r="C7" s="6"/>
      <c r="D7" s="6"/>
      <c r="E7" s="35"/>
      <c r="F7" s="36">
        <v>3</v>
      </c>
      <c r="G7" s="35">
        <f t="shared" si="0"/>
        <v>0</v>
      </c>
      <c r="I7" s="30" t="s">
        <v>64</v>
      </c>
      <c r="J7" s="25" t="s">
        <v>65</v>
      </c>
      <c r="K7" s="31" t="s">
        <v>76</v>
      </c>
    </row>
    <row r="8" spans="1:11" x14ac:dyDescent="0.55000000000000004">
      <c r="A8" s="34">
        <v>46027</v>
      </c>
      <c r="B8" s="6" t="s">
        <v>66</v>
      </c>
      <c r="C8" s="6"/>
      <c r="D8" s="6"/>
      <c r="E8" s="35"/>
      <c r="F8" s="36">
        <v>5</v>
      </c>
      <c r="G8" s="35">
        <f t="shared" si="0"/>
        <v>0</v>
      </c>
      <c r="I8" s="32" t="s">
        <v>61</v>
      </c>
      <c r="J8" s="27" t="s">
        <v>67</v>
      </c>
      <c r="K8" s="33" t="s">
        <v>78</v>
      </c>
    </row>
    <row r="9" spans="1:11" x14ac:dyDescent="0.55000000000000004">
      <c r="A9" s="34">
        <v>46027</v>
      </c>
      <c r="B9" s="6" t="s">
        <v>59</v>
      </c>
      <c r="C9" s="6"/>
      <c r="D9" s="6"/>
      <c r="E9" s="35"/>
      <c r="F9" s="36">
        <v>4</v>
      </c>
      <c r="G9" s="35">
        <f t="shared" si="0"/>
        <v>0</v>
      </c>
      <c r="I9" s="30" t="s">
        <v>68</v>
      </c>
      <c r="J9" s="25" t="s">
        <v>69</v>
      </c>
      <c r="K9" s="31" t="s">
        <v>77</v>
      </c>
    </row>
    <row r="10" spans="1:11" x14ac:dyDescent="0.55000000000000004">
      <c r="A10" s="34">
        <v>46027</v>
      </c>
      <c r="B10" s="6" t="s">
        <v>64</v>
      </c>
      <c r="C10" s="6"/>
      <c r="D10" s="6"/>
      <c r="E10" s="35"/>
      <c r="F10" s="36">
        <v>6</v>
      </c>
      <c r="G10" s="35">
        <f t="shared" si="0"/>
        <v>0</v>
      </c>
      <c r="I10" s="32" t="s">
        <v>63</v>
      </c>
      <c r="J10" s="27" t="s">
        <v>70</v>
      </c>
      <c r="K10" s="33" t="s">
        <v>78</v>
      </c>
    </row>
    <row r="11" spans="1:11" x14ac:dyDescent="0.55000000000000004">
      <c r="A11" s="34">
        <v>46028</v>
      </c>
      <c r="B11" s="6" t="s">
        <v>61</v>
      </c>
      <c r="C11" s="6"/>
      <c r="D11" s="6"/>
      <c r="E11" s="35"/>
      <c r="F11" s="36">
        <v>8</v>
      </c>
      <c r="G11" s="35">
        <f t="shared" si="0"/>
        <v>0</v>
      </c>
      <c r="I11" s="18" t="s">
        <v>66</v>
      </c>
      <c r="J11" s="16" t="s">
        <v>71</v>
      </c>
      <c r="K11" s="17" t="s">
        <v>76</v>
      </c>
    </row>
    <row r="12" spans="1:11" x14ac:dyDescent="0.55000000000000004">
      <c r="A12" s="34">
        <v>46028</v>
      </c>
      <c r="B12" s="6" t="s">
        <v>58</v>
      </c>
      <c r="C12" s="6"/>
      <c r="D12" s="6"/>
      <c r="E12" s="35"/>
      <c r="F12" s="36">
        <v>6</v>
      </c>
      <c r="G12" s="35">
        <f t="shared" si="0"/>
        <v>0</v>
      </c>
    </row>
    <row r="13" spans="1:11" x14ac:dyDescent="0.55000000000000004">
      <c r="A13" s="34">
        <v>46028</v>
      </c>
      <c r="B13" s="6" t="s">
        <v>68</v>
      </c>
      <c r="C13" s="6"/>
      <c r="D13" s="6"/>
      <c r="E13" s="35"/>
      <c r="F13" s="36">
        <v>2</v>
      </c>
      <c r="G13" s="35">
        <f t="shared" si="0"/>
        <v>0</v>
      </c>
      <c r="I13" t="s">
        <v>73</v>
      </c>
    </row>
    <row r="14" spans="1:11" x14ac:dyDescent="0.55000000000000004">
      <c r="A14" s="34">
        <v>46028</v>
      </c>
      <c r="B14" s="6" t="s">
        <v>63</v>
      </c>
      <c r="C14" s="6"/>
      <c r="D14" s="6"/>
      <c r="E14" s="35"/>
      <c r="F14" s="36">
        <v>5</v>
      </c>
      <c r="G14" s="35">
        <f t="shared" si="0"/>
        <v>0</v>
      </c>
      <c r="I14" s="22" t="s">
        <v>72</v>
      </c>
      <c r="J14" s="24" t="s">
        <v>57</v>
      </c>
    </row>
    <row r="15" spans="1:11" x14ac:dyDescent="0.55000000000000004">
      <c r="A15" s="34">
        <v>46028</v>
      </c>
      <c r="B15" s="6" t="s">
        <v>66</v>
      </c>
      <c r="C15" s="6"/>
      <c r="D15" s="6"/>
      <c r="E15" s="35"/>
      <c r="F15" s="36">
        <v>4</v>
      </c>
      <c r="G15" s="35">
        <f t="shared" si="0"/>
        <v>0</v>
      </c>
      <c r="I15" s="30" t="s">
        <v>76</v>
      </c>
      <c r="J15" s="26">
        <v>800</v>
      </c>
    </row>
    <row r="16" spans="1:11" x14ac:dyDescent="0.55000000000000004">
      <c r="A16" s="34">
        <v>46028</v>
      </c>
      <c r="B16" s="6" t="s">
        <v>59</v>
      </c>
      <c r="C16" s="6"/>
      <c r="D16" s="6"/>
      <c r="E16" s="35"/>
      <c r="F16" s="36">
        <v>2</v>
      </c>
      <c r="G16" s="35">
        <f t="shared" si="0"/>
        <v>0</v>
      </c>
      <c r="I16" s="32" t="s">
        <v>77</v>
      </c>
      <c r="J16" s="28">
        <v>500</v>
      </c>
    </row>
    <row r="17" spans="1:10" x14ac:dyDescent="0.55000000000000004">
      <c r="A17" s="34">
        <v>46028</v>
      </c>
      <c r="B17" s="6" t="s">
        <v>64</v>
      </c>
      <c r="C17" s="6"/>
      <c r="D17" s="6"/>
      <c r="E17" s="35"/>
      <c r="F17" s="36">
        <v>8</v>
      </c>
      <c r="G17" s="35">
        <f t="shared" si="0"/>
        <v>0</v>
      </c>
      <c r="I17" s="18" t="s">
        <v>78</v>
      </c>
      <c r="J17" s="29">
        <v>300</v>
      </c>
    </row>
    <row r="19" spans="1:10" x14ac:dyDescent="0.55000000000000004">
      <c r="A19" t="s">
        <v>74</v>
      </c>
      <c r="D19" t="s">
        <v>83</v>
      </c>
    </row>
    <row r="20" spans="1:10" x14ac:dyDescent="0.55000000000000004">
      <c r="A20" s="21" t="s">
        <v>72</v>
      </c>
      <c r="B20" s="21" t="s">
        <v>81</v>
      </c>
      <c r="D20" s="21" t="s">
        <v>52</v>
      </c>
      <c r="E20" s="21" t="s">
        <v>72</v>
      </c>
      <c r="F20" s="21" t="s">
        <v>82</v>
      </c>
    </row>
    <row r="21" spans="1:10" x14ac:dyDescent="0.55000000000000004">
      <c r="A21" s="6" t="s">
        <v>84</v>
      </c>
      <c r="B21" s="20"/>
      <c r="D21" s="34"/>
      <c r="E21" s="6"/>
      <c r="F21" s="37"/>
    </row>
    <row r="22" spans="1:10" x14ac:dyDescent="0.55000000000000004">
      <c r="A22" s="6" t="s">
        <v>85</v>
      </c>
      <c r="B22" s="20"/>
    </row>
    <row r="23" spans="1:10" x14ac:dyDescent="0.55000000000000004">
      <c r="A23" s="6" t="s">
        <v>78</v>
      </c>
      <c r="B23" s="2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67CC-DD35-4885-A243-78973594EB94}">
  <dimension ref="A1:H27"/>
  <sheetViews>
    <sheetView tabSelected="1" zoomScaleNormal="100" workbookViewId="0">
      <selection activeCell="H4" sqref="H4"/>
    </sheetView>
  </sheetViews>
  <sheetFormatPr defaultRowHeight="18" x14ac:dyDescent="0.55000000000000004"/>
  <cols>
    <col min="1" max="2" width="10.58203125" customWidth="1"/>
    <col min="3" max="4" width="20.58203125" customWidth="1"/>
    <col min="5" max="8" width="10.58203125" customWidth="1"/>
  </cols>
  <sheetData>
    <row r="1" spans="1:8" ht="21" x14ac:dyDescent="0.55000000000000004">
      <c r="A1" s="38" t="s">
        <v>21</v>
      </c>
      <c r="B1" s="38"/>
      <c r="C1" s="38"/>
      <c r="D1" s="38"/>
      <c r="E1" s="38"/>
      <c r="F1" s="38"/>
      <c r="G1" s="38"/>
      <c r="H1" s="38"/>
    </row>
    <row r="2" spans="1:8" x14ac:dyDescent="0.55000000000000004">
      <c r="F2" s="13"/>
    </row>
    <row r="3" spans="1:8" x14ac:dyDescent="0.5500000000000000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9</v>
      </c>
    </row>
    <row r="4" spans="1:8" x14ac:dyDescent="0.55000000000000004">
      <c r="A4" s="14">
        <v>45901</v>
      </c>
      <c r="B4" t="s">
        <v>30</v>
      </c>
      <c r="C4" t="s">
        <v>31</v>
      </c>
      <c r="D4" t="s">
        <v>32</v>
      </c>
      <c r="E4" t="s">
        <v>33</v>
      </c>
      <c r="F4">
        <v>40</v>
      </c>
      <c r="G4">
        <v>36</v>
      </c>
    </row>
    <row r="5" spans="1:8" x14ac:dyDescent="0.55000000000000004">
      <c r="A5" s="14">
        <v>45901</v>
      </c>
      <c r="B5" t="s">
        <v>34</v>
      </c>
      <c r="C5" t="s">
        <v>35</v>
      </c>
      <c r="D5" t="s">
        <v>36</v>
      </c>
      <c r="E5" t="s">
        <v>37</v>
      </c>
      <c r="F5">
        <v>30</v>
      </c>
      <c r="G5">
        <v>30</v>
      </c>
    </row>
    <row r="6" spans="1:8" x14ac:dyDescent="0.55000000000000004">
      <c r="A6" s="14">
        <v>45901</v>
      </c>
      <c r="B6" t="s">
        <v>38</v>
      </c>
      <c r="C6" t="s">
        <v>39</v>
      </c>
      <c r="D6" t="s">
        <v>40</v>
      </c>
      <c r="E6" t="s">
        <v>37</v>
      </c>
      <c r="F6">
        <v>20</v>
      </c>
      <c r="G6">
        <v>18</v>
      </c>
    </row>
    <row r="7" spans="1:8" x14ac:dyDescent="0.55000000000000004">
      <c r="A7" s="14">
        <v>45902</v>
      </c>
      <c r="B7" t="s">
        <v>30</v>
      </c>
      <c r="C7" t="s">
        <v>35</v>
      </c>
      <c r="D7" t="s">
        <v>36</v>
      </c>
      <c r="E7" t="s">
        <v>37</v>
      </c>
      <c r="F7">
        <v>40</v>
      </c>
      <c r="G7">
        <v>21</v>
      </c>
    </row>
    <row r="8" spans="1:8" x14ac:dyDescent="0.55000000000000004">
      <c r="A8" s="14">
        <v>45902</v>
      </c>
      <c r="B8" t="s">
        <v>34</v>
      </c>
      <c r="C8" t="s">
        <v>31</v>
      </c>
      <c r="D8" t="s">
        <v>32</v>
      </c>
      <c r="E8" t="s">
        <v>33</v>
      </c>
      <c r="F8">
        <v>30</v>
      </c>
      <c r="G8">
        <v>28</v>
      </c>
    </row>
    <row r="9" spans="1:8" x14ac:dyDescent="0.55000000000000004">
      <c r="A9" s="14">
        <v>45902</v>
      </c>
      <c r="B9" t="s">
        <v>41</v>
      </c>
      <c r="C9" t="s">
        <v>39</v>
      </c>
      <c r="D9" t="s">
        <v>40</v>
      </c>
      <c r="E9" t="s">
        <v>37</v>
      </c>
      <c r="F9">
        <v>30</v>
      </c>
      <c r="G9">
        <v>30</v>
      </c>
    </row>
    <row r="10" spans="1:8" x14ac:dyDescent="0.55000000000000004">
      <c r="A10" s="14">
        <v>45902</v>
      </c>
      <c r="B10" t="s">
        <v>38</v>
      </c>
      <c r="C10" t="s">
        <v>35</v>
      </c>
      <c r="D10" t="s">
        <v>36</v>
      </c>
      <c r="E10" t="s">
        <v>37</v>
      </c>
      <c r="F10">
        <v>20</v>
      </c>
      <c r="G10">
        <v>20</v>
      </c>
    </row>
    <row r="11" spans="1:8" x14ac:dyDescent="0.55000000000000004">
      <c r="A11" s="14">
        <v>45908</v>
      </c>
      <c r="B11" t="s">
        <v>30</v>
      </c>
      <c r="C11" t="s">
        <v>42</v>
      </c>
      <c r="D11" t="s">
        <v>43</v>
      </c>
      <c r="E11" t="s">
        <v>33</v>
      </c>
      <c r="F11">
        <v>40</v>
      </c>
      <c r="G11">
        <v>38</v>
      </c>
    </row>
    <row r="12" spans="1:8" x14ac:dyDescent="0.55000000000000004">
      <c r="A12" s="14">
        <v>45908</v>
      </c>
      <c r="B12" t="s">
        <v>34</v>
      </c>
      <c r="C12" t="s">
        <v>44</v>
      </c>
      <c r="D12" t="s">
        <v>45</v>
      </c>
      <c r="E12" t="s">
        <v>37</v>
      </c>
      <c r="F12">
        <v>30</v>
      </c>
      <c r="G12">
        <v>25</v>
      </c>
    </row>
    <row r="13" spans="1:8" x14ac:dyDescent="0.55000000000000004">
      <c r="A13" s="14">
        <v>45908</v>
      </c>
      <c r="B13" t="s">
        <v>41</v>
      </c>
      <c r="C13" t="s">
        <v>46</v>
      </c>
      <c r="D13" t="s">
        <v>47</v>
      </c>
      <c r="E13" t="s">
        <v>33</v>
      </c>
      <c r="F13">
        <v>30</v>
      </c>
      <c r="G13">
        <v>22</v>
      </c>
    </row>
    <row r="14" spans="1:8" x14ac:dyDescent="0.55000000000000004">
      <c r="A14" s="14">
        <v>45908</v>
      </c>
      <c r="B14" t="s">
        <v>38</v>
      </c>
      <c r="C14" t="s">
        <v>31</v>
      </c>
      <c r="D14" t="s">
        <v>32</v>
      </c>
      <c r="E14" t="s">
        <v>33</v>
      </c>
      <c r="F14">
        <v>20</v>
      </c>
      <c r="G14">
        <v>19</v>
      </c>
    </row>
    <row r="15" spans="1:8" x14ac:dyDescent="0.55000000000000004">
      <c r="A15" s="14">
        <v>45909</v>
      </c>
      <c r="B15" t="s">
        <v>30</v>
      </c>
      <c r="C15" t="s">
        <v>39</v>
      </c>
      <c r="D15" t="s">
        <v>40</v>
      </c>
      <c r="E15" t="s">
        <v>37</v>
      </c>
      <c r="F15">
        <v>40</v>
      </c>
      <c r="G15">
        <v>40</v>
      </c>
    </row>
    <row r="16" spans="1:8" x14ac:dyDescent="0.55000000000000004">
      <c r="A16" s="14">
        <v>45909</v>
      </c>
      <c r="B16" t="s">
        <v>41</v>
      </c>
      <c r="C16" t="s">
        <v>35</v>
      </c>
      <c r="D16" t="s">
        <v>36</v>
      </c>
      <c r="E16" t="s">
        <v>37</v>
      </c>
      <c r="F16">
        <v>30</v>
      </c>
      <c r="G16">
        <v>25</v>
      </c>
    </row>
    <row r="17" spans="1:7" x14ac:dyDescent="0.55000000000000004">
      <c r="A17" s="14">
        <v>45909</v>
      </c>
      <c r="B17" t="s">
        <v>38</v>
      </c>
      <c r="C17" t="s">
        <v>46</v>
      </c>
      <c r="D17" t="s">
        <v>47</v>
      </c>
      <c r="E17" t="s">
        <v>33</v>
      </c>
      <c r="F17">
        <v>20</v>
      </c>
      <c r="G17">
        <v>20</v>
      </c>
    </row>
    <row r="18" spans="1:7" x14ac:dyDescent="0.55000000000000004">
      <c r="A18" s="14">
        <v>45915</v>
      </c>
      <c r="B18" t="s">
        <v>41</v>
      </c>
      <c r="C18" t="s">
        <v>44</v>
      </c>
      <c r="D18" t="s">
        <v>45</v>
      </c>
      <c r="E18" t="s">
        <v>37</v>
      </c>
      <c r="F18">
        <v>40</v>
      </c>
      <c r="G18">
        <v>37</v>
      </c>
    </row>
    <row r="19" spans="1:7" x14ac:dyDescent="0.55000000000000004">
      <c r="A19" s="14">
        <v>45915</v>
      </c>
      <c r="B19" t="s">
        <v>34</v>
      </c>
      <c r="C19" t="s">
        <v>42</v>
      </c>
      <c r="D19" t="s">
        <v>43</v>
      </c>
      <c r="E19" t="s">
        <v>33</v>
      </c>
      <c r="F19">
        <v>30</v>
      </c>
      <c r="G19">
        <v>30</v>
      </c>
    </row>
    <row r="20" spans="1:7" x14ac:dyDescent="0.55000000000000004">
      <c r="A20" s="14">
        <v>45916</v>
      </c>
      <c r="B20" t="s">
        <v>30</v>
      </c>
      <c r="C20" t="s">
        <v>46</v>
      </c>
      <c r="D20" t="s">
        <v>47</v>
      </c>
      <c r="E20" t="s">
        <v>33</v>
      </c>
      <c r="F20">
        <v>40</v>
      </c>
      <c r="G20">
        <v>40</v>
      </c>
    </row>
    <row r="21" spans="1:7" x14ac:dyDescent="0.55000000000000004">
      <c r="A21" s="14">
        <v>45916</v>
      </c>
      <c r="B21" t="s">
        <v>41</v>
      </c>
      <c r="C21" t="s">
        <v>31</v>
      </c>
      <c r="D21" t="s">
        <v>32</v>
      </c>
      <c r="E21" t="s">
        <v>33</v>
      </c>
      <c r="F21">
        <v>30</v>
      </c>
      <c r="G21">
        <v>24</v>
      </c>
    </row>
    <row r="22" spans="1:7" x14ac:dyDescent="0.55000000000000004">
      <c r="A22" s="14">
        <v>45916</v>
      </c>
      <c r="B22" t="s">
        <v>38</v>
      </c>
      <c r="C22" t="s">
        <v>44</v>
      </c>
      <c r="D22" t="s">
        <v>45</v>
      </c>
      <c r="E22" t="s">
        <v>37</v>
      </c>
      <c r="F22">
        <v>20</v>
      </c>
      <c r="G22">
        <v>20</v>
      </c>
    </row>
    <row r="23" spans="1:7" x14ac:dyDescent="0.55000000000000004">
      <c r="A23" s="14">
        <v>45922</v>
      </c>
      <c r="B23" t="s">
        <v>30</v>
      </c>
      <c r="C23" t="s">
        <v>44</v>
      </c>
      <c r="D23" t="s">
        <v>45</v>
      </c>
      <c r="E23" t="s">
        <v>37</v>
      </c>
      <c r="F23">
        <v>40</v>
      </c>
      <c r="G23">
        <v>27</v>
      </c>
    </row>
    <row r="24" spans="1:7" x14ac:dyDescent="0.55000000000000004">
      <c r="A24" s="14">
        <v>45922</v>
      </c>
      <c r="B24" t="s">
        <v>34</v>
      </c>
      <c r="C24" t="s">
        <v>39</v>
      </c>
      <c r="D24" t="s">
        <v>40</v>
      </c>
      <c r="E24" t="s">
        <v>37</v>
      </c>
      <c r="F24">
        <v>30</v>
      </c>
      <c r="G24">
        <v>18</v>
      </c>
    </row>
    <row r="25" spans="1:7" x14ac:dyDescent="0.55000000000000004">
      <c r="A25" s="14">
        <v>45922</v>
      </c>
      <c r="B25" t="s">
        <v>38</v>
      </c>
      <c r="C25" t="s">
        <v>42</v>
      </c>
      <c r="D25" t="s">
        <v>43</v>
      </c>
      <c r="E25" t="s">
        <v>33</v>
      </c>
      <c r="F25">
        <v>20</v>
      </c>
      <c r="G25">
        <v>13</v>
      </c>
    </row>
    <row r="26" spans="1:7" x14ac:dyDescent="0.55000000000000004">
      <c r="A26" s="14">
        <v>45923</v>
      </c>
      <c r="B26" t="s">
        <v>48</v>
      </c>
      <c r="C26" t="s">
        <v>46</v>
      </c>
      <c r="D26" t="s">
        <v>47</v>
      </c>
      <c r="E26" t="s">
        <v>33</v>
      </c>
      <c r="F26">
        <v>40</v>
      </c>
      <c r="G26">
        <v>32</v>
      </c>
    </row>
    <row r="27" spans="1:7" x14ac:dyDescent="0.55000000000000004">
      <c r="A27" s="14">
        <v>45923</v>
      </c>
      <c r="B27" t="s">
        <v>41</v>
      </c>
      <c r="C27" t="s">
        <v>42</v>
      </c>
      <c r="D27" t="s">
        <v>43</v>
      </c>
      <c r="E27" t="s">
        <v>33</v>
      </c>
      <c r="F27">
        <v>30</v>
      </c>
      <c r="G27">
        <v>28</v>
      </c>
    </row>
  </sheetData>
  <mergeCells count="1">
    <mergeCell ref="A1:H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771-B5C6-4E0E-BF06-38806E48D0AF}">
  <dimension ref="A1:I24"/>
  <sheetViews>
    <sheetView zoomScaleNormal="100" workbookViewId="0">
      <selection activeCell="C13" sqref="C13"/>
    </sheetView>
  </sheetViews>
  <sheetFormatPr defaultRowHeight="18" x14ac:dyDescent="0.55000000000000004"/>
  <cols>
    <col min="1" max="9" width="10.58203125" customWidth="1"/>
  </cols>
  <sheetData>
    <row r="1" spans="1:9" ht="22.5" x14ac:dyDescent="0.55000000000000004">
      <c r="A1" s="1" t="s">
        <v>0</v>
      </c>
    </row>
    <row r="3" spans="1:9" ht="18.5" thickBot="1" x14ac:dyDescent="0.6">
      <c r="A3" t="s">
        <v>1</v>
      </c>
    </row>
    <row r="4" spans="1:9" x14ac:dyDescent="0.55000000000000004">
      <c r="A4" s="2" t="s">
        <v>2</v>
      </c>
      <c r="B4" s="3" t="s">
        <v>3</v>
      </c>
      <c r="C4" s="3" t="s">
        <v>19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</row>
    <row r="5" spans="1:9" x14ac:dyDescent="0.55000000000000004">
      <c r="A5" s="5">
        <v>4</v>
      </c>
      <c r="B5" s="6" t="s">
        <v>10</v>
      </c>
      <c r="C5" s="6" t="s">
        <v>11</v>
      </c>
      <c r="D5" s="6">
        <v>15</v>
      </c>
      <c r="E5" s="6">
        <v>16</v>
      </c>
      <c r="F5" s="7" cm="1">
        <f t="array" ref="F5:F22">E5:E22/D5:D22</f>
        <v>1.0666666666666667</v>
      </c>
      <c r="G5" s="6">
        <v>17</v>
      </c>
      <c r="H5" s="7" cm="1">
        <f t="array" ref="H5:H22">E5:E22/G5:G22</f>
        <v>0.94117647058823528</v>
      </c>
      <c r="I5" s="9"/>
    </row>
    <row r="6" spans="1:9" x14ac:dyDescent="0.55000000000000004">
      <c r="A6" s="5">
        <v>4</v>
      </c>
      <c r="B6" s="6" t="s">
        <v>10</v>
      </c>
      <c r="C6" s="6" t="s">
        <v>12</v>
      </c>
      <c r="D6" s="6">
        <v>19</v>
      </c>
      <c r="E6" s="6">
        <v>19</v>
      </c>
      <c r="F6" s="7">
        <v>1</v>
      </c>
      <c r="G6" s="6">
        <v>17</v>
      </c>
      <c r="H6" s="7">
        <v>1.1176470588235294</v>
      </c>
      <c r="I6" s="9"/>
    </row>
    <row r="7" spans="1:9" x14ac:dyDescent="0.55000000000000004">
      <c r="A7" s="5">
        <v>4</v>
      </c>
      <c r="B7" s="6" t="s">
        <v>13</v>
      </c>
      <c r="C7" s="6" t="s">
        <v>14</v>
      </c>
      <c r="D7" s="6">
        <v>15</v>
      </c>
      <c r="E7" s="6">
        <v>11</v>
      </c>
      <c r="F7" s="7">
        <v>0.73333333333333328</v>
      </c>
      <c r="G7" s="6">
        <v>12</v>
      </c>
      <c r="H7" s="7">
        <v>0.91666666666666663</v>
      </c>
      <c r="I7" s="9"/>
    </row>
    <row r="8" spans="1:9" x14ac:dyDescent="0.55000000000000004">
      <c r="A8" s="5">
        <v>4</v>
      </c>
      <c r="B8" s="6" t="s">
        <v>13</v>
      </c>
      <c r="C8" s="6" t="s">
        <v>15</v>
      </c>
      <c r="D8" s="6">
        <v>20</v>
      </c>
      <c r="E8" s="6">
        <v>18</v>
      </c>
      <c r="F8" s="7">
        <v>0.9</v>
      </c>
      <c r="G8" s="6">
        <v>12</v>
      </c>
      <c r="H8" s="7">
        <v>1.5</v>
      </c>
      <c r="I8" s="9"/>
    </row>
    <row r="9" spans="1:9" x14ac:dyDescent="0.55000000000000004">
      <c r="A9" s="5">
        <v>4</v>
      </c>
      <c r="B9" s="6" t="s">
        <v>16</v>
      </c>
      <c r="C9" s="6" t="s">
        <v>17</v>
      </c>
      <c r="D9" s="6">
        <v>10</v>
      </c>
      <c r="E9" s="6">
        <v>12</v>
      </c>
      <c r="F9" s="7">
        <v>1.2</v>
      </c>
      <c r="G9" s="6">
        <v>8</v>
      </c>
      <c r="H9" s="7">
        <v>1.5</v>
      </c>
      <c r="I9" s="9"/>
    </row>
    <row r="10" spans="1:9" x14ac:dyDescent="0.55000000000000004">
      <c r="A10" s="5">
        <v>4</v>
      </c>
      <c r="B10" s="6" t="s">
        <v>16</v>
      </c>
      <c r="C10" s="6" t="s">
        <v>18</v>
      </c>
      <c r="D10" s="6">
        <v>13</v>
      </c>
      <c r="E10" s="6">
        <v>13</v>
      </c>
      <c r="F10" s="7">
        <v>1</v>
      </c>
      <c r="G10" s="6">
        <v>13</v>
      </c>
      <c r="H10" s="7">
        <v>1</v>
      </c>
      <c r="I10" s="9"/>
    </row>
    <row r="11" spans="1:9" x14ac:dyDescent="0.55000000000000004">
      <c r="A11" s="5">
        <v>5</v>
      </c>
      <c r="B11" s="6" t="s">
        <v>10</v>
      </c>
      <c r="C11" s="6" t="s">
        <v>11</v>
      </c>
      <c r="D11" s="6">
        <v>18</v>
      </c>
      <c r="E11" s="6">
        <v>17</v>
      </c>
      <c r="F11" s="7">
        <v>0.94444444444444442</v>
      </c>
      <c r="G11" s="6">
        <v>16</v>
      </c>
      <c r="H11" s="7">
        <v>1.0625</v>
      </c>
      <c r="I11" s="9"/>
    </row>
    <row r="12" spans="1:9" x14ac:dyDescent="0.55000000000000004">
      <c r="A12" s="5">
        <v>5</v>
      </c>
      <c r="B12" s="6" t="s">
        <v>10</v>
      </c>
      <c r="C12" s="6" t="s">
        <v>12</v>
      </c>
      <c r="D12" s="6">
        <v>19</v>
      </c>
      <c r="E12" s="6">
        <v>20</v>
      </c>
      <c r="F12" s="7">
        <v>1.0526315789473684</v>
      </c>
      <c r="G12" s="6">
        <v>17</v>
      </c>
      <c r="H12" s="7">
        <v>1.1764705882352942</v>
      </c>
      <c r="I12" s="9"/>
    </row>
    <row r="13" spans="1:9" x14ac:dyDescent="0.55000000000000004">
      <c r="A13" s="5">
        <v>5</v>
      </c>
      <c r="B13" s="6" t="s">
        <v>13</v>
      </c>
      <c r="C13" s="6" t="s">
        <v>14</v>
      </c>
      <c r="D13" s="6">
        <v>13</v>
      </c>
      <c r="E13" s="6">
        <v>13</v>
      </c>
      <c r="F13" s="7">
        <v>1</v>
      </c>
      <c r="G13" s="6">
        <v>11</v>
      </c>
      <c r="H13" s="7">
        <v>1.1818181818181819</v>
      </c>
      <c r="I13" s="9"/>
    </row>
    <row r="14" spans="1:9" x14ac:dyDescent="0.55000000000000004">
      <c r="A14" s="5">
        <v>5</v>
      </c>
      <c r="B14" s="6" t="s">
        <v>13</v>
      </c>
      <c r="C14" s="6" t="s">
        <v>15</v>
      </c>
      <c r="D14" s="6">
        <v>18</v>
      </c>
      <c r="E14" s="6">
        <v>11</v>
      </c>
      <c r="F14" s="7">
        <v>0.61111111111111116</v>
      </c>
      <c r="G14" s="6">
        <v>15</v>
      </c>
      <c r="H14" s="7">
        <v>0.73333333333333328</v>
      </c>
      <c r="I14" s="9"/>
    </row>
    <row r="15" spans="1:9" x14ac:dyDescent="0.55000000000000004">
      <c r="A15" s="5">
        <v>5</v>
      </c>
      <c r="B15" s="6" t="s">
        <v>16</v>
      </c>
      <c r="C15" s="6" t="s">
        <v>17</v>
      </c>
      <c r="D15" s="6">
        <v>13</v>
      </c>
      <c r="E15" s="6">
        <v>11</v>
      </c>
      <c r="F15" s="7">
        <v>0.84615384615384615</v>
      </c>
      <c r="G15" s="6">
        <v>10</v>
      </c>
      <c r="H15" s="7">
        <v>1.1000000000000001</v>
      </c>
      <c r="I15" s="9"/>
    </row>
    <row r="16" spans="1:9" x14ac:dyDescent="0.55000000000000004">
      <c r="A16" s="5">
        <v>5</v>
      </c>
      <c r="B16" s="6" t="s">
        <v>16</v>
      </c>
      <c r="C16" s="6" t="s">
        <v>18</v>
      </c>
      <c r="D16" s="6">
        <v>17</v>
      </c>
      <c r="E16" s="6">
        <v>17</v>
      </c>
      <c r="F16" s="7">
        <v>1</v>
      </c>
      <c r="G16" s="6">
        <v>15</v>
      </c>
      <c r="H16" s="7">
        <v>1.1333333333333333</v>
      </c>
      <c r="I16" s="9"/>
    </row>
    <row r="17" spans="1:9" x14ac:dyDescent="0.55000000000000004">
      <c r="A17" s="5">
        <v>6</v>
      </c>
      <c r="B17" s="6" t="s">
        <v>10</v>
      </c>
      <c r="C17" s="6" t="s">
        <v>11</v>
      </c>
      <c r="D17" s="6">
        <v>20</v>
      </c>
      <c r="E17" s="6">
        <v>18</v>
      </c>
      <c r="F17" s="7">
        <v>0.9</v>
      </c>
      <c r="G17" s="6">
        <v>17</v>
      </c>
      <c r="H17" s="7">
        <v>1.0588235294117647</v>
      </c>
      <c r="I17" s="9"/>
    </row>
    <row r="18" spans="1:9" x14ac:dyDescent="0.55000000000000004">
      <c r="A18" s="5">
        <v>6</v>
      </c>
      <c r="B18" s="6" t="s">
        <v>10</v>
      </c>
      <c r="C18" s="6" t="s">
        <v>12</v>
      </c>
      <c r="D18" s="6">
        <v>15</v>
      </c>
      <c r="E18" s="6">
        <v>15</v>
      </c>
      <c r="F18" s="7">
        <v>1</v>
      </c>
      <c r="G18" s="6">
        <v>14</v>
      </c>
      <c r="H18" s="7">
        <v>1.0714285714285714</v>
      </c>
      <c r="I18" s="9"/>
    </row>
    <row r="19" spans="1:9" x14ac:dyDescent="0.55000000000000004">
      <c r="A19" s="5">
        <v>6</v>
      </c>
      <c r="B19" s="6" t="s">
        <v>13</v>
      </c>
      <c r="C19" s="6" t="s">
        <v>14</v>
      </c>
      <c r="D19" s="6">
        <v>11</v>
      </c>
      <c r="E19" s="6">
        <v>10</v>
      </c>
      <c r="F19" s="7">
        <v>0.90909090909090906</v>
      </c>
      <c r="G19" s="6">
        <v>11</v>
      </c>
      <c r="H19" s="7">
        <v>0.90909090909090906</v>
      </c>
      <c r="I19" s="9"/>
    </row>
    <row r="20" spans="1:9" x14ac:dyDescent="0.55000000000000004">
      <c r="A20" s="5">
        <v>6</v>
      </c>
      <c r="B20" s="6" t="s">
        <v>13</v>
      </c>
      <c r="C20" s="6" t="s">
        <v>15</v>
      </c>
      <c r="D20" s="6">
        <v>15</v>
      </c>
      <c r="E20" s="6">
        <v>18</v>
      </c>
      <c r="F20" s="7">
        <v>1.2</v>
      </c>
      <c r="G20" s="6">
        <v>13</v>
      </c>
      <c r="H20" s="7">
        <v>1.3846153846153846</v>
      </c>
      <c r="I20" s="9"/>
    </row>
    <row r="21" spans="1:9" x14ac:dyDescent="0.55000000000000004">
      <c r="A21" s="5">
        <v>6</v>
      </c>
      <c r="B21" s="6" t="s">
        <v>16</v>
      </c>
      <c r="C21" s="6" t="s">
        <v>17</v>
      </c>
      <c r="D21" s="6">
        <v>11</v>
      </c>
      <c r="E21" s="6">
        <v>12</v>
      </c>
      <c r="F21" s="7">
        <v>1.0909090909090908</v>
      </c>
      <c r="G21" s="6">
        <v>10</v>
      </c>
      <c r="H21" s="7">
        <v>1.2</v>
      </c>
      <c r="I21" s="9"/>
    </row>
    <row r="22" spans="1:9" ht="18.5" thickBot="1" x14ac:dyDescent="0.6">
      <c r="A22" s="10">
        <v>6</v>
      </c>
      <c r="B22" s="11" t="s">
        <v>16</v>
      </c>
      <c r="C22" s="11" t="s">
        <v>18</v>
      </c>
      <c r="D22" s="11">
        <v>10</v>
      </c>
      <c r="E22" s="11">
        <v>9</v>
      </c>
      <c r="F22" s="8">
        <v>0.9</v>
      </c>
      <c r="G22" s="11">
        <v>9</v>
      </c>
      <c r="H22" s="8">
        <v>1</v>
      </c>
      <c r="I22" s="12"/>
    </row>
    <row r="24" spans="1:9" x14ac:dyDescent="0.55000000000000004">
      <c r="A24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関数・セル</vt:lpstr>
      <vt:lpstr>テーブル</vt:lpstr>
      <vt:lpstr>ピボットテーブル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2021-12-20T23:24:29Z</dcterms:created>
  <dcterms:modified xsi:type="dcterms:W3CDTF">2026-01-16T00:54:04Z</dcterms:modified>
</cp:coreProperties>
</file>
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hidePivotFieldList="1" defaultThemeVersion="166925"/>
  <xr:revisionPtr revIDLastSave="0" documentId="13_ncr:1_{2D8F702F-5BA6-40E6-BA18-B4B9B91EFB80}" xr6:coauthVersionLast="36" xr6:coauthVersionMax="36" xr10:uidLastSave="{00000000-0000-0000-0000-000000000000}"/>
  <bookViews>
    <workbookView xWindow="3840" yWindow="1790" windowWidth="21600" windowHeight="11300" activeTab="2" xr2:uid="{44A07127-95CF-454E-8875-3E47D6CD68B3}"/>
  </bookViews>
  <sheets>
    <sheet name="関数・セル" sheetId="12" r:id="rId1"/>
    <sheet name="テーブル" sheetId="8" r:id="rId2"/>
    <sheet name="ピボットテーブル" sheetId="6" r:id="rId3"/>
  </sheets>
  <externalReferences>
    <externalReference r:id="rId4"/>
  </externalReferences>
  <definedNames>
    <definedName name="オプションリスト" localSheetId="1">[1]!オプションマスター[オプション]</definedName>
    <definedName name="オプションリスト">#REF!</definedName>
    <definedName name="会員番号リスト" localSheetId="1">[1]!会員マスター[会員番号]</definedName>
    <definedName name="会員番号リスト">#REF!</definedName>
    <definedName name="森川売上">#REF!</definedName>
    <definedName name="長谷川売上">#REF!</definedName>
    <definedName name="里中売上">#REF!</definedName>
    <definedName name="鈴木売上">#REF!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5" i="6"/>
  <c r="H23" i="8" l="1"/>
  <c r="J23" i="8" s="1"/>
  <c r="H4" i="8"/>
  <c r="J4" i="8" s="1"/>
  <c r="H10" i="8"/>
  <c r="J10" i="8" s="1"/>
  <c r="H15" i="8"/>
  <c r="J15" i="8" s="1"/>
  <c r="H21" i="8"/>
  <c r="J21" i="8" s="1"/>
  <c r="H5" i="8"/>
  <c r="J5" i="8" s="1"/>
  <c r="H6" i="8"/>
  <c r="J6" i="8" s="1"/>
  <c r="H19" i="8"/>
  <c r="J19" i="8" s="1"/>
  <c r="H11" i="8"/>
  <c r="J11" i="8" s="1"/>
  <c r="H26" i="8"/>
  <c r="J26" i="8" s="1"/>
  <c r="H20" i="8"/>
  <c r="J20" i="8" s="1"/>
  <c r="H7" i="8"/>
  <c r="J7" i="8" s="1"/>
  <c r="H12" i="8"/>
  <c r="J12" i="8" s="1"/>
  <c r="H16" i="8"/>
  <c r="J16" i="8" s="1"/>
  <c r="H9" i="8"/>
  <c r="J9" i="8" s="1"/>
  <c r="H17" i="8"/>
  <c r="J17" i="8" s="1"/>
  <c r="H18" i="8"/>
  <c r="J18" i="8" s="1"/>
  <c r="H24" i="8"/>
  <c r="J24" i="8" s="1"/>
  <c r="H8" i="8"/>
  <c r="J8" i="8" s="1"/>
  <c r="H13" i="8"/>
  <c r="J13" i="8" s="1"/>
  <c r="H14" i="8"/>
  <c r="J14" i="8" s="1"/>
  <c r="H27" i="8"/>
  <c r="J27" i="8" s="1"/>
  <c r="H25" i="8"/>
  <c r="J25" i="8" s="1"/>
  <c r="H22" i="8"/>
  <c r="J22" i="8" s="1"/>
  <c r="E5" i="12"/>
  <c r="C5" i="12"/>
  <c r="I22" i="8" l="1"/>
  <c r="I13" i="8"/>
  <c r="I17" i="8"/>
  <c r="I7" i="8"/>
  <c r="I19" i="8"/>
  <c r="I15" i="8"/>
  <c r="I25" i="8"/>
  <c r="I8" i="8"/>
  <c r="I9" i="8"/>
  <c r="I20" i="8"/>
  <c r="I6" i="8"/>
  <c r="I10" i="8"/>
  <c r="I27" i="8"/>
  <c r="I24" i="8"/>
  <c r="I16" i="8"/>
  <c r="I26" i="8"/>
  <c r="I5" i="8"/>
  <c r="I4" i="8"/>
  <c r="I14" i="8"/>
  <c r="I18" i="8"/>
  <c r="I12" i="8"/>
  <c r="I11" i="8"/>
  <c r="I21" i="8"/>
  <c r="I23" i="8"/>
  <c r="F21" i="12"/>
  <c r="B23" i="12"/>
  <c r="B21" i="12"/>
  <c r="E6" i="12"/>
  <c r="E7" i="12"/>
  <c r="E8" i="12"/>
  <c r="E9" i="12"/>
  <c r="E10" i="12"/>
  <c r="E11" i="12"/>
  <c r="E12" i="12"/>
  <c r="E13" i="12"/>
  <c r="E14" i="12"/>
  <c r="E15" i="12"/>
  <c r="E16" i="12"/>
  <c r="E17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F2" i="12"/>
  <c r="G17" i="12" l="1"/>
  <c r="G16" i="12"/>
  <c r="G15" i="12"/>
  <c r="G14" i="12"/>
  <c r="G13" i="12"/>
  <c r="G12" i="12"/>
  <c r="G10" i="12"/>
  <c r="G9" i="12"/>
  <c r="G8" i="12"/>
  <c r="G7" i="12"/>
  <c r="G6" i="12"/>
  <c r="G5" i="12"/>
  <c r="B22" i="12" s="1"/>
  <c r="H5" i="6" a="1"/>
  <c r="H5" i="6" s="1"/>
  <c r="F5" i="6" a="1"/>
  <c r="G11" i="12" l="1"/>
  <c r="F5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<sst xmlns="http://schemas.openxmlformats.org/spreadsheetml/2006/main" count="234" uniqueCount="103">
  <si>
    <t>店舗別新規会員数一覧表</t>
    <rPh sb="0" eb="2">
      <t>テンポ</t>
    </rPh>
    <rPh sb="2" eb="3">
      <t>ベツ</t>
    </rPh>
    <rPh sb="3" eb="5">
      <t>シンキ</t>
    </rPh>
    <rPh sb="5" eb="8">
      <t>カイインスウ</t>
    </rPh>
    <rPh sb="8" eb="10">
      <t>イチラン</t>
    </rPh>
    <rPh sb="10" eb="11">
      <t>ヒョウ</t>
    </rPh>
    <phoneticPr fontId="1"/>
  </si>
  <si>
    <t>一覧表</t>
    <rPh sb="0" eb="2">
      <t>イチラン</t>
    </rPh>
    <rPh sb="2" eb="3">
      <t>ヒョウ</t>
    </rPh>
    <phoneticPr fontId="1"/>
  </si>
  <si>
    <t>売上月</t>
    <rPh sb="0" eb="2">
      <t>ウリアゲ</t>
    </rPh>
    <rPh sb="2" eb="3">
      <t>ツキ</t>
    </rPh>
    <phoneticPr fontId="1"/>
  </si>
  <si>
    <t>地区</t>
    <rPh sb="0" eb="2">
      <t>チク</t>
    </rPh>
    <phoneticPr fontId="1"/>
  </si>
  <si>
    <t>目標数</t>
    <rPh sb="0" eb="2">
      <t>モクヒョウ</t>
    </rPh>
    <rPh sb="2" eb="3">
      <t>スウ</t>
    </rPh>
    <phoneticPr fontId="1"/>
  </si>
  <si>
    <t>新規会員数</t>
    <rPh sb="0" eb="2">
      <t>シンキ</t>
    </rPh>
    <rPh sb="2" eb="4">
      <t>カイイン</t>
    </rPh>
    <rPh sb="4" eb="5">
      <t>スウ</t>
    </rPh>
    <phoneticPr fontId="1"/>
  </si>
  <si>
    <t>達成率</t>
    <rPh sb="0" eb="3">
      <t>タッセイリツ</t>
    </rPh>
    <phoneticPr fontId="1"/>
  </si>
  <si>
    <t>前年度実績</t>
    <rPh sb="0" eb="3">
      <t>ゼンネンド</t>
    </rPh>
    <rPh sb="3" eb="5">
      <t>ジッセキ</t>
    </rPh>
    <phoneticPr fontId="1"/>
  </si>
  <si>
    <t>前年同期比</t>
    <rPh sb="0" eb="2">
      <t>ゼンネン</t>
    </rPh>
    <rPh sb="2" eb="5">
      <t>ドウキヒ</t>
    </rPh>
    <phoneticPr fontId="1"/>
  </si>
  <si>
    <t>評価</t>
    <rPh sb="0" eb="2">
      <t>ヒョウカ</t>
    </rPh>
    <phoneticPr fontId="1"/>
  </si>
  <si>
    <t>北地区</t>
    <rPh sb="0" eb="3">
      <t>キタチク</t>
    </rPh>
    <phoneticPr fontId="1"/>
  </si>
  <si>
    <t>緑ヶ丘店</t>
    <rPh sb="0" eb="3">
      <t>ミドリガオカ</t>
    </rPh>
    <rPh sb="3" eb="4">
      <t>テン</t>
    </rPh>
    <phoneticPr fontId="1"/>
  </si>
  <si>
    <t>友沢店</t>
    <rPh sb="0" eb="3">
      <t>トモサワテン</t>
    </rPh>
    <phoneticPr fontId="1"/>
  </si>
  <si>
    <t>中地区</t>
    <rPh sb="0" eb="3">
      <t>ナカチク</t>
    </rPh>
    <phoneticPr fontId="1"/>
  </si>
  <si>
    <t>中林店</t>
    <rPh sb="0" eb="2">
      <t>ナカバヤシ</t>
    </rPh>
    <rPh sb="2" eb="3">
      <t>テン</t>
    </rPh>
    <phoneticPr fontId="1"/>
  </si>
  <si>
    <t>駅前店</t>
    <rPh sb="0" eb="3">
      <t>エキマエテン</t>
    </rPh>
    <phoneticPr fontId="1"/>
  </si>
  <si>
    <t>南地区</t>
    <rPh sb="0" eb="3">
      <t>ミナミチク</t>
    </rPh>
    <phoneticPr fontId="1"/>
  </si>
  <si>
    <t>栄川店</t>
    <rPh sb="0" eb="2">
      <t>サカエガワ</t>
    </rPh>
    <rPh sb="2" eb="3">
      <t>テン</t>
    </rPh>
    <phoneticPr fontId="1"/>
  </si>
  <si>
    <t>城南店</t>
    <rPh sb="0" eb="2">
      <t>ジョウナン</t>
    </rPh>
    <rPh sb="2" eb="3">
      <t>テン</t>
    </rPh>
    <phoneticPr fontId="1"/>
  </si>
  <si>
    <t>店舗</t>
    <rPh sb="0" eb="2">
      <t>テンポ</t>
    </rPh>
    <phoneticPr fontId="1"/>
  </si>
  <si>
    <t>集計表</t>
    <rPh sb="0" eb="3">
      <t>シュウケイヒョウ</t>
    </rPh>
    <phoneticPr fontId="1"/>
  </si>
  <si>
    <t>研修申込集計表</t>
    <rPh sb="0" eb="4">
      <t>ケンシュウモウシコミ</t>
    </rPh>
    <rPh sb="4" eb="7">
      <t>シュウケイヒョウ</t>
    </rPh>
    <phoneticPr fontId="1"/>
  </si>
  <si>
    <t>現在</t>
    <rPh sb="0" eb="2">
      <t>ゲンザイ</t>
    </rPh>
    <phoneticPr fontId="1"/>
  </si>
  <si>
    <t>研修日</t>
    <rPh sb="0" eb="2">
      <t>ケンシュウ</t>
    </rPh>
    <rPh sb="2" eb="3">
      <t>ビ</t>
    </rPh>
    <phoneticPr fontId="1"/>
  </si>
  <si>
    <t>開催場所</t>
    <rPh sb="0" eb="4">
      <t>カイサイバショ</t>
    </rPh>
    <phoneticPr fontId="1"/>
  </si>
  <si>
    <t>研修名</t>
    <rPh sb="0" eb="3">
      <t>ケンシュウメイ</t>
    </rPh>
    <phoneticPr fontId="1"/>
  </si>
  <si>
    <t>講師</t>
    <rPh sb="0" eb="2">
      <t>コウシ</t>
    </rPh>
    <phoneticPr fontId="1"/>
  </si>
  <si>
    <t>対象者</t>
    <rPh sb="0" eb="3">
      <t>タイショウシャ</t>
    </rPh>
    <phoneticPr fontId="1"/>
  </si>
  <si>
    <t>定員</t>
    <rPh sb="0" eb="2">
      <t>テイイン</t>
    </rPh>
    <phoneticPr fontId="1"/>
  </si>
  <si>
    <t>申込数</t>
    <rPh sb="0" eb="3">
      <t>モウシコミスウ</t>
    </rPh>
    <phoneticPr fontId="1"/>
  </si>
  <si>
    <t>東京A</t>
  </si>
  <si>
    <t>リーダーシップ</t>
  </si>
  <si>
    <t>渡辺　奈美</t>
  </si>
  <si>
    <t>中堅社員</t>
  </si>
  <si>
    <t>大阪A</t>
  </si>
  <si>
    <t>ビジネスマナー</t>
  </si>
  <si>
    <t>飯塚　由美子</t>
  </si>
  <si>
    <t>若手社員</t>
  </si>
  <si>
    <t>大阪B</t>
  </si>
  <si>
    <t>情報セキュリティ</t>
  </si>
  <si>
    <t>横山　正幸</t>
  </si>
  <si>
    <t>東京B</t>
  </si>
  <si>
    <t>ハラスメント</t>
  </si>
  <si>
    <t>高橋　麻紀</t>
  </si>
  <si>
    <t>クレーム対応</t>
  </si>
  <si>
    <t>田中　健太郎</t>
  </si>
  <si>
    <t>労務管理</t>
    <rPh sb="0" eb="4">
      <t>ロウムカンリ</t>
    </rPh>
    <phoneticPr fontId="1"/>
  </si>
  <si>
    <t>塚田　雄二</t>
  </si>
  <si>
    <t>大阪A</t>
    <rPh sb="0" eb="2">
      <t>オオサカ</t>
    </rPh>
    <phoneticPr fontId="1"/>
  </si>
  <si>
    <t>コワーキングスペース利用表</t>
    <rPh sb="10" eb="12">
      <t>リヨウ</t>
    </rPh>
    <rPh sb="12" eb="13">
      <t>ヒョウ</t>
    </rPh>
    <phoneticPr fontId="1"/>
  </si>
  <si>
    <t>利用表</t>
    <rPh sb="0" eb="2">
      <t>リヨウ</t>
    </rPh>
    <rPh sb="2" eb="3">
      <t>ヒョウ</t>
    </rPh>
    <phoneticPr fontId="1"/>
  </si>
  <si>
    <t>会員一覧</t>
    <rPh sb="0" eb="2">
      <t>カイイン</t>
    </rPh>
    <rPh sb="2" eb="4">
      <t>イチラン</t>
    </rPh>
    <phoneticPr fontId="1"/>
  </si>
  <si>
    <t>日付</t>
    <rPh sb="0" eb="2">
      <t>ヒヅケ</t>
    </rPh>
    <phoneticPr fontId="1"/>
  </si>
  <si>
    <t>会員番号</t>
    <rPh sb="0" eb="2">
      <t>カイイン</t>
    </rPh>
    <rPh sb="2" eb="4">
      <t>バンゴウ</t>
    </rPh>
    <phoneticPr fontId="1"/>
  </si>
  <si>
    <t>会員名</t>
    <rPh sb="0" eb="3">
      <t>カイインメイ</t>
    </rPh>
    <phoneticPr fontId="1"/>
  </si>
  <si>
    <t>コース</t>
  </si>
  <si>
    <t>会員番号</t>
    <rPh sb="0" eb="4">
      <t>カイインバンゴウ</t>
    </rPh>
    <phoneticPr fontId="1"/>
  </si>
  <si>
    <t>料金</t>
    <rPh sb="0" eb="2">
      <t>リョウキン</t>
    </rPh>
    <phoneticPr fontId="1"/>
  </si>
  <si>
    <t>Z02152</t>
  </si>
  <si>
    <t>Z02151</t>
  </si>
  <si>
    <t>吉田　裕子</t>
    <rPh sb="0" eb="2">
      <t>ヨシダ</t>
    </rPh>
    <rPh sb="3" eb="5">
      <t>ユウコ</t>
    </rPh>
    <phoneticPr fontId="1"/>
  </si>
  <si>
    <t>Z02154</t>
  </si>
  <si>
    <t>葉山　浩太</t>
    <rPh sb="0" eb="2">
      <t>ハヤマ</t>
    </rPh>
    <rPh sb="3" eb="5">
      <t>コウタ</t>
    </rPh>
    <phoneticPr fontId="1"/>
  </si>
  <si>
    <t>Z02156</t>
  </si>
  <si>
    <t>Z02153</t>
  </si>
  <si>
    <t>湯沢　智弘</t>
    <rPh sb="0" eb="2">
      <t>ユザワ</t>
    </rPh>
    <rPh sb="3" eb="5">
      <t>トモヒロ</t>
    </rPh>
    <phoneticPr fontId="1"/>
  </si>
  <si>
    <t>Z02157</t>
  </si>
  <si>
    <t>高山　桃子</t>
    <rPh sb="0" eb="2">
      <t>タカヤマ</t>
    </rPh>
    <rPh sb="3" eb="5">
      <t>モモコ</t>
    </rPh>
    <phoneticPr fontId="1"/>
  </si>
  <si>
    <t>Z02155</t>
  </si>
  <si>
    <t>斎藤　明弘</t>
    <rPh sb="0" eb="2">
      <t>サイトウ</t>
    </rPh>
    <rPh sb="3" eb="5">
      <t>アキヒロ</t>
    </rPh>
    <phoneticPr fontId="1"/>
  </si>
  <si>
    <t>香川　実</t>
    <rPh sb="0" eb="2">
      <t>カガワ</t>
    </rPh>
    <rPh sb="3" eb="4">
      <t>ミノル</t>
    </rPh>
    <phoneticPr fontId="1"/>
  </si>
  <si>
    <t>高見沢　美穂</t>
    <rPh sb="0" eb="3">
      <t>タカミザワ</t>
    </rPh>
    <rPh sb="4" eb="6">
      <t>ミホ</t>
    </rPh>
    <phoneticPr fontId="1"/>
  </si>
  <si>
    <t>コース</t>
    <phoneticPr fontId="1"/>
  </si>
  <si>
    <t>料金一覧</t>
    <rPh sb="0" eb="4">
      <t>リョウキンイチラン</t>
    </rPh>
    <phoneticPr fontId="1"/>
  </si>
  <si>
    <t>コース別売上</t>
    <rPh sb="3" eb="4">
      <t>ベツ</t>
    </rPh>
    <rPh sb="4" eb="6">
      <t>ウリアゲ</t>
    </rPh>
    <phoneticPr fontId="1"/>
  </si>
  <si>
    <t>料金/時</t>
    <rPh sb="0" eb="2">
      <t>リョウキン</t>
    </rPh>
    <rPh sb="3" eb="4">
      <t>ジ</t>
    </rPh>
    <phoneticPr fontId="1"/>
  </si>
  <si>
    <t>ブロンズ</t>
    <phoneticPr fontId="1"/>
  </si>
  <si>
    <t>シルバー</t>
    <phoneticPr fontId="1"/>
  </si>
  <si>
    <t>ゴールド</t>
    <phoneticPr fontId="1"/>
  </si>
  <si>
    <t>利用時間</t>
    <rPh sb="0" eb="4">
      <t>リヨウジカン</t>
    </rPh>
    <phoneticPr fontId="1"/>
  </si>
  <si>
    <t>利用料金</t>
    <rPh sb="0" eb="4">
      <t>リヨウリョウキン</t>
    </rPh>
    <phoneticPr fontId="1"/>
  </si>
  <si>
    <t>売上合計</t>
    <rPh sb="0" eb="2">
      <t>ウリアゲ</t>
    </rPh>
    <rPh sb="2" eb="4">
      <t>ゴウケイ</t>
    </rPh>
    <phoneticPr fontId="1"/>
  </si>
  <si>
    <t>平均時間</t>
    <rPh sb="0" eb="4">
      <t>ヘイキンジカン</t>
    </rPh>
    <phoneticPr fontId="1"/>
  </si>
  <si>
    <t>平均利用時間</t>
    <rPh sb="0" eb="2">
      <t>ヘイキン</t>
    </rPh>
    <rPh sb="2" eb="4">
      <t>リヨウ</t>
    </rPh>
    <rPh sb="4" eb="6">
      <t>ジカン</t>
    </rPh>
    <phoneticPr fontId="1"/>
  </si>
  <si>
    <t>ブロンズ</t>
  </si>
  <si>
    <t>ブロンズ</t>
    <phoneticPr fontId="1"/>
  </si>
  <si>
    <t>シルバー</t>
    <phoneticPr fontId="1"/>
  </si>
  <si>
    <t>充足率</t>
    <rPh sb="0" eb="3">
      <t>ジュウソクリツ</t>
    </rPh>
    <phoneticPr fontId="1"/>
  </si>
  <si>
    <t>評価</t>
    <rPh sb="0" eb="2">
      <t>ヒョウカ</t>
    </rPh>
    <phoneticPr fontId="1"/>
  </si>
  <si>
    <t>列1</t>
    <phoneticPr fontId="1"/>
  </si>
  <si>
    <t>行ラベル</t>
  </si>
  <si>
    <t>栄川店</t>
  </si>
  <si>
    <t>駅前店</t>
  </si>
  <si>
    <t>城南店</t>
  </si>
  <si>
    <t>中林店</t>
  </si>
  <si>
    <t>友沢店</t>
  </si>
  <si>
    <t>緑ヶ丘店</t>
  </si>
  <si>
    <t>総計</t>
  </si>
  <si>
    <t>列ラベル</t>
  </si>
  <si>
    <t>合計 / 新規会員数</t>
  </si>
  <si>
    <t>中地区</t>
  </si>
  <si>
    <t>南地区</t>
  </si>
  <si>
    <t>北地区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</si>
</sst>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#&quot;月&quot;"/>
    <numFmt numFmtId="177" formatCode="m&quot;月&quot;d&quot;日&quot;;@"/>
    <numFmt numFmtId="178" formatCode="#,##0.0;[Red]\-#,##0.0"/>
    <numFmt numFmtId="179" formatCode="m&quot;月&quot;d&quot;日&quot;\(aaa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</font>
    <font>
      <b/>
      <sz val="11"/>
      <color theme="0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8"/>
      <color theme="1"/>
      <name val="HGP創英角ｺﾞｼｯｸUB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9" fontId="0" fillId="0" borderId="5" xfId="1" applyFont="1" applyBorder="1">
      <alignment vertical="center"/>
    </xf>
    <xf numFmtId="9" fontId="0" fillId="0" borderId="6" xfId="1" applyFont="1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6" xfId="0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0" xfId="0" applyFill="1" applyBorder="1">
      <alignment vertical="center"/>
    </xf>
    <xf numFmtId="0" fontId="4" fillId="3" borderId="5" xfId="0" applyFont="1" applyFill="1" applyBorder="1">
      <alignment vertical="center"/>
    </xf>
    <xf numFmtId="6" fontId="0" fillId="0" borderId="5" xfId="3" applyFont="1" applyBorder="1">
      <alignment vertical="center"/>
    </xf>
    <xf numFmtId="0" fontId="4" fillId="5" borderId="5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4" fillId="3" borderId="14" xfId="0" applyFont="1" applyFill="1" applyBorder="1">
      <alignment vertical="center"/>
    </xf>
    <xf numFmtId="0" fontId="4" fillId="3" borderId="15" xfId="0" applyFont="1" applyFill="1" applyBorder="1">
      <alignment vertical="center"/>
    </xf>
    <xf numFmtId="0" fontId="0" fillId="4" borderId="14" xfId="0" applyFill="1" applyBorder="1">
      <alignment vertical="center"/>
    </xf>
    <xf numFmtId="6" fontId="0" fillId="4" borderId="15" xfId="3" applyFont="1" applyFill="1" applyBorder="1">
      <alignment vertical="center"/>
    </xf>
    <xf numFmtId="0" fontId="0" fillId="0" borderId="14" xfId="0" applyBorder="1">
      <alignment vertical="center"/>
    </xf>
    <xf numFmtId="6" fontId="0" fillId="0" borderId="15" xfId="3" applyFont="1" applyBorder="1">
      <alignment vertical="center"/>
    </xf>
    <xf numFmtId="6" fontId="0" fillId="4" borderId="12" xfId="3" applyFont="1" applyFill="1" applyBorder="1">
      <alignment vertical="center"/>
    </xf>
    <xf numFmtId="0" fontId="0" fillId="4" borderId="13" xfId="0" applyFill="1" applyBorder="1">
      <alignment vertical="center"/>
    </xf>
    <xf numFmtId="0" fontId="0" fillId="4" borderId="15" xfId="0" applyFill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6" fontId="0" fillId="0" borderId="5" xfId="3" applyFont="1" applyFill="1" applyBorder="1">
      <alignment vertical="center"/>
    </xf>
    <xf numFmtId="178" fontId="0" fillId="0" borderId="5" xfId="2" applyNumberFormat="1" applyFont="1" applyBorder="1">
      <alignment vertical="center"/>
    </xf>
    <xf numFmtId="179" fontId="0" fillId="0" borderId="0" xfId="0" applyNumberFormat="1">
      <alignment vertical="center"/>
    </xf>
    <xf numFmtId="0" fontId="0" fillId="0" borderId="5" xfId="0" applyFont="1" applyFill="1" applyBorder="1">
      <alignment vertical="center"/>
    </xf>
    <xf numFmtId="14" fontId="0" fillId="0" borderId="5" xfId="0" applyNumberForma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38" fontId="0" fillId="0" borderId="5" xfId="2" applyFont="1" applyFill="1" applyBorder="1" applyProtection="1">
      <alignment vertical="center"/>
      <protection locked="0"/>
    </xf>
    <xf numFmtId="9" fontId="0" fillId="0" borderId="0" xfId="1" applyFont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4">
    <cellStyle name="パーセント" xfId="1" builtinId="5"/>
    <cellStyle name="桁区切り" xfId="2" builtinId="6"/>
    <cellStyle name="通貨" xfId="3" builtinId="7"/>
    <cellStyle name="標準" xfId="0" builtinId="0"/>
  </cellStyles>
  <dxfs count="3">
    <dxf>
      <numFmt numFmtId="0" formatCode="General"/>
    </dxf>
    <dxf>
      <numFmt numFmtId="0" formatCode="General"/>
    </dxf>
    <dxf>
      <numFmt numFmtId="47" formatCode="m&quot;月&quot;d&quot;日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[テスト前復習用(完成).xlsx]ピボットテーブル!ピボットテーブル1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ピボットテーブル!$B$25:$B$26</c:f>
              <c:strCache>
                <c:ptCount val="1"/>
                <c:pt idx="0">
                  <c:v>4月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ピボットテーブル!$A$27:$A$36</c:f>
              <c:multiLvlStrCache>
                <c:ptCount val="6"/>
                <c:lvl>
                  <c:pt idx="0">
                    <c:v>友沢店</c:v>
                  </c:pt>
                  <c:pt idx="1">
                    <c:v>緑ヶ丘店</c:v>
                  </c:pt>
                  <c:pt idx="2">
                    <c:v>栄川店</c:v>
                  </c:pt>
                  <c:pt idx="3">
                    <c:v>城南店</c:v>
                  </c:pt>
                  <c:pt idx="4">
                    <c:v>駅前店</c:v>
                  </c:pt>
                  <c:pt idx="5">
                    <c:v>中林店</c:v>
                  </c:pt>
                </c:lvl>
                <c:lvl>
                  <c:pt idx="0">
                    <c:v>北地区</c:v>
                  </c:pt>
                  <c:pt idx="2">
                    <c:v>南地区</c:v>
                  </c:pt>
                  <c:pt idx="4">
                    <c:v>中地区</c:v>
                  </c:pt>
                </c:lvl>
              </c:multiLvlStrCache>
            </c:multiLvlStrRef>
          </c:cat>
          <c:val>
            <c:numRef>
              <c:f>ピボットテーブル!$B$27:$B$36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12</c:v>
                </c:pt>
                <c:pt idx="3">
                  <c:v>13</c:v>
                </c:pt>
                <c:pt idx="4">
                  <c:v>18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B-4C8A-A026-25FB0F1E16EF}"/>
            </c:ext>
          </c:extLst>
        </c:ser>
        <c:ser>
          <c:idx val="1"/>
          <c:order val="1"/>
          <c:tx>
            <c:strRef>
              <c:f>ピボットテーブル!$C$25:$C$26</c:f>
              <c:strCache>
                <c:ptCount val="1"/>
                <c:pt idx="0">
                  <c:v>6月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ピボットテーブル!$A$27:$A$36</c:f>
              <c:multiLvlStrCache>
                <c:ptCount val="6"/>
                <c:lvl>
                  <c:pt idx="0">
                    <c:v>友沢店</c:v>
                  </c:pt>
                  <c:pt idx="1">
                    <c:v>緑ヶ丘店</c:v>
                  </c:pt>
                  <c:pt idx="2">
                    <c:v>栄川店</c:v>
                  </c:pt>
                  <c:pt idx="3">
                    <c:v>城南店</c:v>
                  </c:pt>
                  <c:pt idx="4">
                    <c:v>駅前店</c:v>
                  </c:pt>
                  <c:pt idx="5">
                    <c:v>中林店</c:v>
                  </c:pt>
                </c:lvl>
                <c:lvl>
                  <c:pt idx="0">
                    <c:v>北地区</c:v>
                  </c:pt>
                  <c:pt idx="2">
                    <c:v>南地区</c:v>
                  </c:pt>
                  <c:pt idx="4">
                    <c:v>中地区</c:v>
                  </c:pt>
                </c:lvl>
              </c:multiLvlStrCache>
            </c:multiLvlStrRef>
          </c:cat>
          <c:val>
            <c:numRef>
              <c:f>ピボットテーブル!$C$27:$C$36</c:f>
              <c:numCache>
                <c:formatCode>General</c:formatCode>
                <c:ptCount val="6"/>
                <c:pt idx="0">
                  <c:v>15</c:v>
                </c:pt>
                <c:pt idx="1">
                  <c:v>18</c:v>
                </c:pt>
                <c:pt idx="2">
                  <c:v>12</c:v>
                </c:pt>
                <c:pt idx="3">
                  <c:v>9</c:v>
                </c:pt>
                <c:pt idx="4">
                  <c:v>18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B-4C8A-A026-25FB0F1E1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956544"/>
        <c:axId val="1297180064"/>
      </c:barChart>
      <c:catAx>
        <c:axId val="113295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7180064"/>
        <c:crosses val="autoZero"/>
        <c:auto val="1"/>
        <c:lblAlgn val="ctr"/>
        <c:lblOffset val="100"/>
        <c:noMultiLvlLbl val="0"/>
      </c:catAx>
      <c:valAx>
        <c:axId val="129718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295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24</xdr:row>
      <xdr:rowOff>9525</xdr:rowOff>
    </xdr:from>
    <xdr:to>
      <xdr:col>11</xdr:col>
      <xdr:colOff>641350</xdr:colOff>
      <xdr:row>36</xdr:row>
      <xdr:rowOff>6350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5FDAD92-F052-4D19-8230-F43FA71CC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8e6e7506c3cb35ee/KIYO/&#12304;AirCourse&#12305;Office&#35611;&#24231;/Excel365&#19978;&#32026;/&#12469;&#12531;&#12503;&#12523;&#12487;&#12540;&#12479;&#3859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データ処理に使える関数"/>
      <sheetName val="②データ分析に使える関数"/>
      <sheetName val="③テーブルの基本活用"/>
      <sheetName val="③テーブルの基本活用 (2)"/>
      <sheetName val="④テーブルの実践活用"/>
      <sheetName val="⑤ピボットテーブルの基本"/>
      <sheetName val="⑥ピボットテーブルの応用"/>
      <sheetName val="⑦グラフ作成の応用"/>
      <sheetName val="⑧AIを活用したデータ分析"/>
      <sheetName val="サンプルデータ集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成者" refreshedDate="46038.444446064816" createdVersion="6" refreshedVersion="6" minRefreshableVersion="3" recordCount="18" xr:uid="{E108628A-83C4-4524-B739-039D144BC403}">
  <cacheSource type="worksheet">
    <worksheetSource ref="A4:I22" sheet="ピボットテーブル"/>
  </cacheSource>
  <cacheFields count="9">
    <cacheField name="売上月" numFmtId="176">
      <sharedItems containsSemiMixedTypes="0" containsString="0" containsNumber="1" containsInteger="1" minValue="4" maxValue="6" count="3">
        <n v="4"/>
        <n v="5"/>
        <n v="6"/>
      </sharedItems>
    </cacheField>
    <cacheField name="地区" numFmtId="0">
      <sharedItems count="3">
        <s v="北地区"/>
        <s v="中地区"/>
        <s v="南地区"/>
      </sharedItems>
    </cacheField>
    <cacheField name="店舗" numFmtId="0">
      <sharedItems count="6">
        <s v="緑ヶ丘店"/>
        <s v="友沢店"/>
        <s v="中林店"/>
        <s v="駅前店"/>
        <s v="栄川店"/>
        <s v="城南店"/>
      </sharedItems>
    </cacheField>
    <cacheField name="目標数" numFmtId="0">
      <sharedItems containsSemiMixedTypes="0" containsString="0" containsNumber="1" containsInteger="1" minValue="10" maxValue="20"/>
    </cacheField>
    <cacheField name="新規会員数" numFmtId="0">
      <sharedItems containsSemiMixedTypes="0" containsString="0" containsNumber="1" containsInteger="1" minValue="9" maxValue="20"/>
    </cacheField>
    <cacheField name="達成率" numFmtId="9">
      <sharedItems containsSemiMixedTypes="0" containsString="0" containsNumber="1" minValue="0.61111111111111116" maxValue="1.2"/>
    </cacheField>
    <cacheField name="前年度実績" numFmtId="0">
      <sharedItems containsSemiMixedTypes="0" containsString="0" containsNumber="1" containsInteger="1" minValue="8" maxValue="17"/>
    </cacheField>
    <cacheField name="前年同期比" numFmtId="9">
      <sharedItems containsSemiMixedTypes="0" containsString="0" containsNumber="1" minValue="0.73333333333333328" maxValue="1.5"/>
    </cacheField>
    <cacheField name="評価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15"/>
    <n v="16"/>
    <n v="1.0666666666666667"/>
    <n v="17"/>
    <n v="0.94117647058823528"/>
    <s v="B"/>
  </r>
  <r>
    <x v="0"/>
    <x v="0"/>
    <x v="1"/>
    <n v="19"/>
    <n v="19"/>
    <n v="1"/>
    <n v="17"/>
    <n v="1.1176470588235294"/>
    <s v="A"/>
  </r>
  <r>
    <x v="0"/>
    <x v="1"/>
    <x v="2"/>
    <n v="15"/>
    <n v="11"/>
    <n v="0.73333333333333328"/>
    <n v="12"/>
    <n v="0.91666666666666663"/>
    <s v="C"/>
  </r>
  <r>
    <x v="0"/>
    <x v="1"/>
    <x v="3"/>
    <n v="20"/>
    <n v="18"/>
    <n v="0.9"/>
    <n v="12"/>
    <n v="1.5"/>
    <s v="B"/>
  </r>
  <r>
    <x v="0"/>
    <x v="2"/>
    <x v="4"/>
    <n v="10"/>
    <n v="12"/>
    <n v="1.2"/>
    <n v="8"/>
    <n v="1.5"/>
    <s v="A"/>
  </r>
  <r>
    <x v="0"/>
    <x v="2"/>
    <x v="5"/>
    <n v="13"/>
    <n v="13"/>
    <n v="1"/>
    <n v="13"/>
    <n v="1"/>
    <s v="A"/>
  </r>
  <r>
    <x v="1"/>
    <x v="0"/>
    <x v="0"/>
    <n v="18"/>
    <n v="17"/>
    <n v="0.94444444444444442"/>
    <n v="16"/>
    <n v="1.0625"/>
    <s v="B"/>
  </r>
  <r>
    <x v="1"/>
    <x v="0"/>
    <x v="1"/>
    <n v="19"/>
    <n v="20"/>
    <n v="1.0526315789473684"/>
    <n v="17"/>
    <n v="1.1764705882352942"/>
    <s v="A"/>
  </r>
  <r>
    <x v="1"/>
    <x v="1"/>
    <x v="2"/>
    <n v="13"/>
    <n v="13"/>
    <n v="1"/>
    <n v="11"/>
    <n v="1.1818181818181819"/>
    <s v="A"/>
  </r>
  <r>
    <x v="1"/>
    <x v="1"/>
    <x v="3"/>
    <n v="18"/>
    <n v="11"/>
    <n v="0.61111111111111116"/>
    <n v="15"/>
    <n v="0.73333333333333328"/>
    <s v="C"/>
  </r>
  <r>
    <x v="1"/>
    <x v="2"/>
    <x v="4"/>
    <n v="13"/>
    <n v="11"/>
    <n v="0.84615384615384615"/>
    <n v="10"/>
    <n v="1.1000000000000001"/>
    <s v="B"/>
  </r>
  <r>
    <x v="1"/>
    <x v="2"/>
    <x v="5"/>
    <n v="17"/>
    <n v="17"/>
    <n v="1"/>
    <n v="15"/>
    <n v="1.1333333333333333"/>
    <s v="A"/>
  </r>
  <r>
    <x v="2"/>
    <x v="0"/>
    <x v="0"/>
    <n v="20"/>
    <n v="18"/>
    <n v="0.9"/>
    <n v="17"/>
    <n v="1.0588235294117647"/>
    <s v="B"/>
  </r>
  <r>
    <x v="2"/>
    <x v="0"/>
    <x v="1"/>
    <n v="15"/>
    <n v="15"/>
    <n v="1"/>
    <n v="14"/>
    <n v="1.0714285714285714"/>
    <s v="A"/>
  </r>
  <r>
    <x v="2"/>
    <x v="1"/>
    <x v="2"/>
    <n v="11"/>
    <n v="10"/>
    <n v="0.90909090909090906"/>
    <n v="11"/>
    <n v="0.90909090909090906"/>
    <s v="C"/>
  </r>
  <r>
    <x v="2"/>
    <x v="1"/>
    <x v="3"/>
    <n v="15"/>
    <n v="18"/>
    <n v="1.2"/>
    <n v="13"/>
    <n v="1.3846153846153846"/>
    <s v="A"/>
  </r>
  <r>
    <x v="2"/>
    <x v="2"/>
    <x v="4"/>
    <n v="11"/>
    <n v="12"/>
    <n v="1.0909090909090908"/>
    <n v="10"/>
    <n v="1.2"/>
    <s v="A"/>
  </r>
  <r>
    <x v="2"/>
    <x v="2"/>
    <x v="5"/>
    <n v="10"/>
    <n v="9"/>
    <n v="0.9"/>
    <n v="9"/>
    <n v="1"/>
    <s v="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CDCAA-B24E-48B7-8789-10082DB2FFF8}" name="ピボットテーブル1" cacheId="4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 chartFormat="2">
  <location ref="A25:D36" firstHeaderRow="1" firstDataRow="2" firstDataCol="1"/>
  <pivotFields count="9">
    <pivotField axis="axisCol" numFmtId="176" showAll="0">
      <items count="4">
        <item x="0"/>
        <item h="1" x="1"/>
        <item x="2"/>
        <item t="default"/>
      </items>
    </pivotField>
    <pivotField axis="axisRow" showAll="0" sortType="descending">
      <items count="4">
        <item x="0"/>
        <item x="2"/>
        <item x="1"/>
        <item t="default"/>
      </items>
    </pivotField>
    <pivotField axis="axisRow" showAll="0">
      <items count="7">
        <item x="4"/>
        <item x="3"/>
        <item x="5"/>
        <item x="2"/>
        <item x="1"/>
        <item x="0"/>
        <item t="default"/>
      </items>
    </pivotField>
    <pivotField showAll="0"/>
    <pivotField dataField="1" showAll="0"/>
    <pivotField numFmtId="9" showAll="0"/>
    <pivotField showAll="0"/>
    <pivotField numFmtId="9" showAll="0"/>
    <pivotField showAll="0"/>
  </pivotFields>
  <rowFields count="2">
    <field x="1"/>
    <field x="2"/>
  </rowFields>
  <rowItems count="10">
    <i>
      <x/>
    </i>
    <i r="1">
      <x v="4"/>
    </i>
    <i r="1">
      <x v="5"/>
    </i>
    <i>
      <x v="1"/>
    </i>
    <i r="1">
      <x/>
    </i>
    <i r="1">
      <x v="2"/>
    </i>
    <i>
      <x v="2"/>
    </i>
    <i r="1">
      <x v="1"/>
    </i>
    <i r="1">
      <x v="3"/>
    </i>
    <i t="grand">
      <x/>
    </i>
  </rowItems>
  <colFields count="1">
    <field x="0"/>
  </colFields>
  <colItems count="3">
    <i>
      <x/>
    </i>
    <i>
      <x v="2"/>
    </i>
    <i t="grand">
      <x/>
    </i>
  </colItems>
  <dataFields count="1">
    <dataField name="合計 / 新規会員数" fld="4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D9F62-0E38-46DC-8F13-D103BAB7B4A7}" name="テーブル1" displayName="テーブル1" ref="A3:J27" totalsRowShown="0">
  <autoFilter ref="A3:J27" xr:uid="{B142591F-A259-428C-9251-000C71C4D4FB}">
    <filterColumn colId="1">
      <customFilters>
        <customFilter val="*東京*"/>
      </customFilters>
    </filterColumn>
    <filterColumn colId="8">
      <filters>
        <filter val="A"/>
      </filters>
    </filterColumn>
  </autoFilter>
  <sortState ref="A4:J27">
    <sortCondition ref="E4:E27"/>
    <sortCondition descending="1" ref="H4:H27"/>
  </sortState>
  <tableColumns count="10">
    <tableColumn id="1" xr3:uid="{D27B593E-8FD4-4310-B8EA-9F9679859D39}" name="研修日" dataDxfId="2"/>
    <tableColumn id="2" xr3:uid="{21788A08-A2DB-4861-BEB4-0B5BBEB2DB3F}" name="開催場所"/>
    <tableColumn id="3" xr3:uid="{CE4B22E2-6D08-451E-88B3-2A588BE4C506}" name="研修名"/>
    <tableColumn id="4" xr3:uid="{D2AAFE4E-62DB-4733-B999-507CA40410AB}" name="講師"/>
    <tableColumn id="5" xr3:uid="{8490CA5A-02BB-4399-A40F-27FE3CA8A7A3}" name="対象者"/>
    <tableColumn id="6" xr3:uid="{80B2FA79-153C-4563-9980-2B1CB1E3C8D0}" name="定員"/>
    <tableColumn id="7" xr3:uid="{DD4E9D60-C447-4782-AAA6-C0DB39803066}" name="申込数"/>
    <tableColumn id="11" xr3:uid="{1BB45AB9-4407-44FE-8867-0FF67845B3E0}" name="充足率" dataCellStyle="パーセント">
      <calculatedColumnFormula>テーブル1[[#This Row],[申込数]]/テーブル1[[#This Row],[定員]]</calculatedColumnFormula>
    </tableColumn>
    <tableColumn id="8" xr3:uid="{74F61B29-B2EF-4278-BEC2-273A91D93C1D}" name="評価" dataDxfId="1">
      <calculatedColumnFormula>_xlfn.IFS(テーブル1[[#This Row],[充足率]]&gt;=0.9,"A",テーブル1[[#This Row],[充足率]]&gt;=0.8,"B",TRUE,"C")</calculatedColumnFormula>
    </tableColumn>
    <tableColumn id="12" xr3:uid="{8C95D9BD-132F-4BC3-BDFB-000E8CBB1DC6}" name="列1" dataDxfId="0">
      <calculatedColumnFormula>IF(テーブル1[[#This Row],[充足率]]&gt;=0.9,"A",IF(テーブル1[[#This Row],[充足率]]&gt;=0.8,"B","C"))</calculatedColumnFormula>
    </tableColumn>
  </tableColumns>
  <tableStyleInfo name="TableStyleMedium3" showFirstColumn="0" showLastColumn="0" showRowStripes="0" showColumnStripes="1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6142-3E1C-4B62-9179-538CB67713C0}">
  <dimension ref="A1:K23"/>
  <sheetViews>
    <sheetView topLeftCell="C1" zoomScale="130" zoomScaleNormal="130" workbookViewId="0">
      <selection activeCell="E4" sqref="E4"/>
    </sheetView>
  </sheetViews>
  <sheetFormatPr defaultRowHeight="18" x14ac:dyDescent="0.55000000000000004"/>
  <cols>
    <col min="1" max="2" width="10.58203125" customWidth="1"/>
    <col min="3" max="4" width="14.58203125" customWidth="1"/>
    <col min="5" max="5" width="10.58203125" customWidth="1"/>
    <col min="6" max="6" width="11.25" bestFit="1" customWidth="1"/>
    <col min="7" max="7" width="10.58203125" customWidth="1"/>
    <col min="9" max="9" width="10.58203125" customWidth="1"/>
    <col min="10" max="11" width="14.58203125" customWidth="1"/>
    <col min="13" max="13" width="20.58203125" customWidth="1"/>
    <col min="14" max="14" width="10.58203125" customWidth="1"/>
  </cols>
  <sheetData>
    <row r="1" spans="1:11" ht="22.5" x14ac:dyDescent="0.55000000000000004">
      <c r="A1" s="15" t="s">
        <v>49</v>
      </c>
    </row>
    <row r="2" spans="1:11" x14ac:dyDescent="0.55000000000000004">
      <c r="F2" s="36">
        <f ca="1">TODAY()</f>
        <v>46038</v>
      </c>
      <c r="G2" t="s">
        <v>22</v>
      </c>
    </row>
    <row r="3" spans="1:11" x14ac:dyDescent="0.55000000000000004">
      <c r="A3" t="s">
        <v>50</v>
      </c>
      <c r="I3" t="s">
        <v>51</v>
      </c>
    </row>
    <row r="4" spans="1:11" x14ac:dyDescent="0.55000000000000004">
      <c r="A4" s="19" t="s">
        <v>52</v>
      </c>
      <c r="B4" s="19" t="s">
        <v>53</v>
      </c>
      <c r="C4" s="19" t="s">
        <v>54</v>
      </c>
      <c r="D4" s="19" t="s">
        <v>55</v>
      </c>
      <c r="E4" s="19" t="s">
        <v>75</v>
      </c>
      <c r="F4" s="19" t="s">
        <v>79</v>
      </c>
      <c r="G4" s="19" t="s">
        <v>80</v>
      </c>
      <c r="I4" s="22" t="s">
        <v>56</v>
      </c>
      <c r="J4" s="23" t="s">
        <v>54</v>
      </c>
      <c r="K4" s="24" t="s">
        <v>55</v>
      </c>
    </row>
    <row r="5" spans="1:11" x14ac:dyDescent="0.55000000000000004">
      <c r="A5" s="38">
        <v>46027</v>
      </c>
      <c r="B5" s="39" t="s">
        <v>58</v>
      </c>
      <c r="C5" s="37" t="str">
        <f>INDEX($I$4:$K$11,MATCH($B5,$I$4:$I$11,0),MATCH(C$4,$I$4:$K$4,0))</f>
        <v>葉山　浩太</v>
      </c>
      <c r="D5" s="37" t="str">
        <f>INDEX($I$4:$K$11,MATCH($B5,$I$4:$I$11,0),MATCH(D$4,$I$4:$K$4,0))</f>
        <v>シルバー</v>
      </c>
      <c r="E5" s="34">
        <f>VLOOKUP(D5,$I$15:$J$17,2,FALSE)</f>
        <v>500</v>
      </c>
      <c r="F5" s="40">
        <v>8</v>
      </c>
      <c r="G5" s="34">
        <f>E5*F5</f>
        <v>4000</v>
      </c>
      <c r="I5" s="30" t="s">
        <v>59</v>
      </c>
      <c r="J5" s="25" t="s">
        <v>60</v>
      </c>
      <c r="K5" s="31" t="s">
        <v>76</v>
      </c>
    </row>
    <row r="6" spans="1:11" x14ac:dyDescent="0.55000000000000004">
      <c r="A6" s="38">
        <v>46027</v>
      </c>
      <c r="B6" s="39" t="s">
        <v>61</v>
      </c>
      <c r="C6" s="37" t="str">
        <f t="shared" ref="C6:D17" si="0">INDEX($I$4:$K$11,MATCH($B6,$I$4:$I$11,0),MATCH(C$4,$I$4:$K$4,0))</f>
        <v>高山　桃子</v>
      </c>
      <c r="D6" s="37" t="str">
        <f t="shared" si="0"/>
        <v>ゴールド</v>
      </c>
      <c r="E6" s="34">
        <f t="shared" ref="E6:E17" si="1">VLOOKUP(D6,$I$15:$J$17,2,FALSE)</f>
        <v>300</v>
      </c>
      <c r="F6" s="40">
        <v>6</v>
      </c>
      <c r="G6" s="34">
        <f t="shared" ref="G6:G17" si="2">E6*F6</f>
        <v>1800</v>
      </c>
      <c r="I6" s="32" t="s">
        <v>58</v>
      </c>
      <c r="J6" s="27" t="s">
        <v>62</v>
      </c>
      <c r="K6" s="33" t="s">
        <v>77</v>
      </c>
    </row>
    <row r="7" spans="1:11" x14ac:dyDescent="0.55000000000000004">
      <c r="A7" s="38">
        <v>46027</v>
      </c>
      <c r="B7" s="39" t="s">
        <v>63</v>
      </c>
      <c r="C7" s="37" t="str">
        <f t="shared" si="0"/>
        <v>香川　実</v>
      </c>
      <c r="D7" s="37" t="str">
        <f t="shared" si="0"/>
        <v>ゴールド</v>
      </c>
      <c r="E7" s="34">
        <f t="shared" si="1"/>
        <v>300</v>
      </c>
      <c r="F7" s="40">
        <v>3</v>
      </c>
      <c r="G7" s="34">
        <f t="shared" si="2"/>
        <v>900</v>
      </c>
      <c r="I7" s="30" t="s">
        <v>64</v>
      </c>
      <c r="J7" s="25" t="s">
        <v>65</v>
      </c>
      <c r="K7" s="31" t="s">
        <v>76</v>
      </c>
    </row>
    <row r="8" spans="1:11" x14ac:dyDescent="0.55000000000000004">
      <c r="A8" s="38">
        <v>46027</v>
      </c>
      <c r="B8" s="39" t="s">
        <v>66</v>
      </c>
      <c r="C8" s="37" t="str">
        <f t="shared" si="0"/>
        <v>高見沢　美穂</v>
      </c>
      <c r="D8" s="37" t="str">
        <f t="shared" si="0"/>
        <v>ブロンズ</v>
      </c>
      <c r="E8" s="34">
        <f t="shared" si="1"/>
        <v>800</v>
      </c>
      <c r="F8" s="40">
        <v>5</v>
      </c>
      <c r="G8" s="34">
        <f t="shared" si="2"/>
        <v>4000</v>
      </c>
      <c r="I8" s="32" t="s">
        <v>61</v>
      </c>
      <c r="J8" s="27" t="s">
        <v>67</v>
      </c>
      <c r="K8" s="33" t="s">
        <v>78</v>
      </c>
    </row>
    <row r="9" spans="1:11" x14ac:dyDescent="0.55000000000000004">
      <c r="A9" s="38">
        <v>46027</v>
      </c>
      <c r="B9" s="39" t="s">
        <v>59</v>
      </c>
      <c r="C9" s="37" t="str">
        <f t="shared" si="0"/>
        <v>吉田　裕子</v>
      </c>
      <c r="D9" s="37" t="str">
        <f t="shared" si="0"/>
        <v>ブロンズ</v>
      </c>
      <c r="E9" s="34">
        <f t="shared" si="1"/>
        <v>800</v>
      </c>
      <c r="F9" s="40">
        <v>4</v>
      </c>
      <c r="G9" s="34">
        <f t="shared" si="2"/>
        <v>3200</v>
      </c>
      <c r="I9" s="30" t="s">
        <v>68</v>
      </c>
      <c r="J9" s="25" t="s">
        <v>69</v>
      </c>
      <c r="K9" s="31" t="s">
        <v>77</v>
      </c>
    </row>
    <row r="10" spans="1:11" x14ac:dyDescent="0.55000000000000004">
      <c r="A10" s="38">
        <v>46027</v>
      </c>
      <c r="B10" s="39" t="s">
        <v>64</v>
      </c>
      <c r="C10" s="37" t="str">
        <f t="shared" si="0"/>
        <v>湯沢　智弘</v>
      </c>
      <c r="D10" s="37" t="str">
        <f t="shared" si="0"/>
        <v>ブロンズ</v>
      </c>
      <c r="E10" s="34">
        <f t="shared" si="1"/>
        <v>800</v>
      </c>
      <c r="F10" s="40">
        <v>6</v>
      </c>
      <c r="G10" s="34">
        <f t="shared" si="2"/>
        <v>4800</v>
      </c>
      <c r="I10" s="32" t="s">
        <v>63</v>
      </c>
      <c r="J10" s="27" t="s">
        <v>70</v>
      </c>
      <c r="K10" s="33" t="s">
        <v>78</v>
      </c>
    </row>
    <row r="11" spans="1:11" x14ac:dyDescent="0.55000000000000004">
      <c r="A11" s="38">
        <v>46028</v>
      </c>
      <c r="B11" s="39" t="s">
        <v>61</v>
      </c>
      <c r="C11" s="37" t="str">
        <f t="shared" si="0"/>
        <v>高山　桃子</v>
      </c>
      <c r="D11" s="37" t="str">
        <f t="shared" si="0"/>
        <v>ゴールド</v>
      </c>
      <c r="E11" s="34">
        <f t="shared" si="1"/>
        <v>300</v>
      </c>
      <c r="F11" s="40">
        <v>8</v>
      </c>
      <c r="G11" s="34">
        <f t="shared" si="2"/>
        <v>2400</v>
      </c>
      <c r="I11" s="18" t="s">
        <v>66</v>
      </c>
      <c r="J11" s="16" t="s">
        <v>71</v>
      </c>
      <c r="K11" s="17" t="s">
        <v>76</v>
      </c>
    </row>
    <row r="12" spans="1:11" x14ac:dyDescent="0.55000000000000004">
      <c r="A12" s="38">
        <v>46028</v>
      </c>
      <c r="B12" s="39" t="s">
        <v>58</v>
      </c>
      <c r="C12" s="37" t="str">
        <f t="shared" si="0"/>
        <v>葉山　浩太</v>
      </c>
      <c r="D12" s="37" t="str">
        <f t="shared" si="0"/>
        <v>シルバー</v>
      </c>
      <c r="E12" s="34">
        <f t="shared" si="1"/>
        <v>500</v>
      </c>
      <c r="F12" s="40">
        <v>6</v>
      </c>
      <c r="G12" s="34">
        <f t="shared" si="2"/>
        <v>3000</v>
      </c>
    </row>
    <row r="13" spans="1:11" x14ac:dyDescent="0.55000000000000004">
      <c r="A13" s="38">
        <v>46028</v>
      </c>
      <c r="B13" s="39" t="s">
        <v>68</v>
      </c>
      <c r="C13" s="37" t="str">
        <f t="shared" si="0"/>
        <v>斎藤　明弘</v>
      </c>
      <c r="D13" s="37" t="str">
        <f t="shared" si="0"/>
        <v>シルバー</v>
      </c>
      <c r="E13" s="34">
        <f t="shared" si="1"/>
        <v>500</v>
      </c>
      <c r="F13" s="40">
        <v>2</v>
      </c>
      <c r="G13" s="34">
        <f t="shared" si="2"/>
        <v>1000</v>
      </c>
      <c r="I13" t="s">
        <v>73</v>
      </c>
    </row>
    <row r="14" spans="1:11" x14ac:dyDescent="0.55000000000000004">
      <c r="A14" s="38">
        <v>46028</v>
      </c>
      <c r="B14" s="39" t="s">
        <v>63</v>
      </c>
      <c r="C14" s="37" t="str">
        <f t="shared" si="0"/>
        <v>香川　実</v>
      </c>
      <c r="D14" s="37" t="str">
        <f t="shared" si="0"/>
        <v>ゴールド</v>
      </c>
      <c r="E14" s="34">
        <f t="shared" si="1"/>
        <v>300</v>
      </c>
      <c r="F14" s="40">
        <v>5</v>
      </c>
      <c r="G14" s="34">
        <f t="shared" si="2"/>
        <v>1500</v>
      </c>
      <c r="I14" s="22" t="s">
        <v>72</v>
      </c>
      <c r="J14" s="24" t="s">
        <v>57</v>
      </c>
    </row>
    <row r="15" spans="1:11" x14ac:dyDescent="0.55000000000000004">
      <c r="A15" s="38">
        <v>46028</v>
      </c>
      <c r="B15" s="39" t="s">
        <v>66</v>
      </c>
      <c r="C15" s="37" t="str">
        <f t="shared" si="0"/>
        <v>高見沢　美穂</v>
      </c>
      <c r="D15" s="37" t="str">
        <f t="shared" si="0"/>
        <v>ブロンズ</v>
      </c>
      <c r="E15" s="34">
        <f t="shared" si="1"/>
        <v>800</v>
      </c>
      <c r="F15" s="40">
        <v>4</v>
      </c>
      <c r="G15" s="34">
        <f t="shared" si="2"/>
        <v>3200</v>
      </c>
      <c r="I15" s="30" t="s">
        <v>76</v>
      </c>
      <c r="J15" s="26">
        <v>800</v>
      </c>
    </row>
    <row r="16" spans="1:11" x14ac:dyDescent="0.55000000000000004">
      <c r="A16" s="38">
        <v>46028</v>
      </c>
      <c r="B16" s="39" t="s">
        <v>59</v>
      </c>
      <c r="C16" s="37" t="str">
        <f t="shared" si="0"/>
        <v>吉田　裕子</v>
      </c>
      <c r="D16" s="37" t="str">
        <f t="shared" si="0"/>
        <v>ブロンズ</v>
      </c>
      <c r="E16" s="34">
        <f t="shared" si="1"/>
        <v>800</v>
      </c>
      <c r="F16" s="40">
        <v>2</v>
      </c>
      <c r="G16" s="34">
        <f t="shared" si="2"/>
        <v>1600</v>
      </c>
      <c r="I16" s="32" t="s">
        <v>77</v>
      </c>
      <c r="J16" s="28">
        <v>500</v>
      </c>
    </row>
    <row r="17" spans="1:10" x14ac:dyDescent="0.55000000000000004">
      <c r="A17" s="38">
        <v>46028</v>
      </c>
      <c r="B17" s="39" t="s">
        <v>64</v>
      </c>
      <c r="C17" s="37" t="str">
        <f t="shared" si="0"/>
        <v>湯沢　智弘</v>
      </c>
      <c r="D17" s="37" t="str">
        <f t="shared" si="0"/>
        <v>ブロンズ</v>
      </c>
      <c r="E17" s="34">
        <f t="shared" si="1"/>
        <v>800</v>
      </c>
      <c r="F17" s="40">
        <v>8</v>
      </c>
      <c r="G17" s="34">
        <f t="shared" si="2"/>
        <v>6400</v>
      </c>
      <c r="I17" s="18" t="s">
        <v>78</v>
      </c>
      <c r="J17" s="29">
        <v>300</v>
      </c>
    </row>
    <row r="19" spans="1:10" x14ac:dyDescent="0.55000000000000004">
      <c r="A19" t="s">
        <v>74</v>
      </c>
      <c r="D19" t="s">
        <v>83</v>
      </c>
    </row>
    <row r="20" spans="1:10" x14ac:dyDescent="0.55000000000000004">
      <c r="A20" s="21" t="s">
        <v>72</v>
      </c>
      <c r="B20" s="21" t="s">
        <v>81</v>
      </c>
      <c r="D20" s="21" t="s">
        <v>52</v>
      </c>
      <c r="E20" s="21" t="s">
        <v>72</v>
      </c>
      <c r="F20" s="21" t="s">
        <v>82</v>
      </c>
    </row>
    <row r="21" spans="1:10" x14ac:dyDescent="0.55000000000000004">
      <c r="A21" s="6" t="s">
        <v>85</v>
      </c>
      <c r="B21" s="20">
        <f>SUMIF($D$5:$D$17,A21,$G$5:$G$17)</f>
        <v>23200</v>
      </c>
      <c r="D21" s="38">
        <v>46027</v>
      </c>
      <c r="E21" s="39" t="s">
        <v>84</v>
      </c>
      <c r="F21" s="35">
        <f>AVERAGEIFS(F5:F17,A5:A17,D21,D5:D17,E21)</f>
        <v>5</v>
      </c>
    </row>
    <row r="22" spans="1:10" x14ac:dyDescent="0.55000000000000004">
      <c r="A22" s="6" t="s">
        <v>86</v>
      </c>
      <c r="B22" s="20">
        <f t="shared" ref="B22" si="3">SUMIF($D$5:$D$17,A22,$G$5:$G$17)</f>
        <v>8000</v>
      </c>
    </row>
    <row r="23" spans="1:10" x14ac:dyDescent="0.55000000000000004">
      <c r="A23" s="6" t="s">
        <v>78</v>
      </c>
      <c r="B23" s="20">
        <f>SUMIF($D$5:$D$17,A23,$G$5:$G$17)</f>
        <v>6600</v>
      </c>
    </row>
  </sheetData>
  <phoneticPr fontId="1"/>
  <dataValidations count="2">
    <dataValidation type="list" allowBlank="1" showInputMessage="1" showErrorMessage="1" sqref="D21" xr:uid="{87C2720A-FEF1-4A7D-9C5F-A4D2A04ADA42}">
      <formula1>"2026/1/5,2026/1/6"</formula1>
    </dataValidation>
    <dataValidation type="list" allowBlank="1" showInputMessage="1" showErrorMessage="1" sqref="E21" xr:uid="{F0AF2FF2-9C0D-4EC5-98E3-DAD5FF023C94}">
      <formula1>$I$15:$I$17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67CC-DD35-4885-A243-78973594EB94}">
  <dimension ref="A1:J27"/>
  <sheetViews>
    <sheetView zoomScale="115" zoomScaleNormal="115" workbookViewId="0">
      <selection activeCell="A9" sqref="A9"/>
    </sheetView>
  </sheetViews>
  <sheetFormatPr defaultRowHeight="18" x14ac:dyDescent="0.55000000000000004"/>
  <cols>
    <col min="1" max="2" width="10.58203125" customWidth="1"/>
    <col min="3" max="4" width="20.58203125" customWidth="1"/>
    <col min="5" max="8" width="10.58203125" customWidth="1"/>
  </cols>
  <sheetData>
    <row r="1" spans="1:10" ht="21" x14ac:dyDescent="0.55000000000000004">
      <c r="A1" s="42" t="s">
        <v>21</v>
      </c>
      <c r="B1" s="42"/>
      <c r="C1" s="42"/>
      <c r="D1" s="42"/>
      <c r="E1" s="42"/>
      <c r="F1" s="42"/>
      <c r="G1" s="42"/>
      <c r="H1" s="42"/>
    </row>
    <row r="2" spans="1:10" x14ac:dyDescent="0.55000000000000004">
      <c r="F2" s="13"/>
    </row>
    <row r="3" spans="1:10" x14ac:dyDescent="0.5500000000000000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87</v>
      </c>
      <c r="I3" t="s">
        <v>88</v>
      </c>
      <c r="J3" t="s">
        <v>89</v>
      </c>
    </row>
    <row r="4" spans="1:10" hidden="1" x14ac:dyDescent="0.55000000000000004">
      <c r="A4" s="14">
        <v>45901</v>
      </c>
      <c r="B4" t="s">
        <v>34</v>
      </c>
      <c r="C4" t="s">
        <v>35</v>
      </c>
      <c r="D4" t="s">
        <v>36</v>
      </c>
      <c r="E4" t="s">
        <v>37</v>
      </c>
      <c r="F4">
        <v>30</v>
      </c>
      <c r="G4">
        <v>30</v>
      </c>
      <c r="H4" s="41">
        <f>テーブル1[[#This Row],[申込数]]/テーブル1[[#This Row],[定員]]</f>
        <v>1</v>
      </c>
      <c r="I4" t="str">
        <f>_xlfn.IFS(テーブル1[[#This Row],[充足率]]&gt;=0.9,"A",テーブル1[[#This Row],[充足率]]&gt;=0.8,"B",TRUE,"C")</f>
        <v>A</v>
      </c>
      <c r="J4" t="str">
        <f>IF(テーブル1[[#This Row],[充足率]]&gt;=0.9,"A",IF(テーブル1[[#This Row],[充足率]]&gt;=0.8,"B","C"))</f>
        <v>A</v>
      </c>
    </row>
    <row r="5" spans="1:10" x14ac:dyDescent="0.55000000000000004">
      <c r="A5" s="14">
        <v>45902</v>
      </c>
      <c r="B5" t="s">
        <v>41</v>
      </c>
      <c r="C5" t="s">
        <v>39</v>
      </c>
      <c r="D5" t="s">
        <v>40</v>
      </c>
      <c r="E5" t="s">
        <v>37</v>
      </c>
      <c r="F5">
        <v>30</v>
      </c>
      <c r="G5">
        <v>30</v>
      </c>
      <c r="H5" s="41">
        <f>テーブル1[[#This Row],[申込数]]/テーブル1[[#This Row],[定員]]</f>
        <v>1</v>
      </c>
      <c r="I5" t="str">
        <f>_xlfn.IFS(テーブル1[[#This Row],[充足率]]&gt;=0.9,"A",テーブル1[[#This Row],[充足率]]&gt;=0.8,"B",TRUE,"C")</f>
        <v>A</v>
      </c>
      <c r="J5" t="str">
        <f>IF(テーブル1[[#This Row],[充足率]]&gt;=0.9,"A",IF(テーブル1[[#This Row],[充足率]]&gt;=0.8,"B","C"))</f>
        <v>A</v>
      </c>
    </row>
    <row r="6" spans="1:10" hidden="1" x14ac:dyDescent="0.55000000000000004">
      <c r="A6" s="14">
        <v>45902</v>
      </c>
      <c r="B6" t="s">
        <v>38</v>
      </c>
      <c r="C6" t="s">
        <v>35</v>
      </c>
      <c r="D6" t="s">
        <v>36</v>
      </c>
      <c r="E6" t="s">
        <v>37</v>
      </c>
      <c r="F6">
        <v>20</v>
      </c>
      <c r="G6">
        <v>20</v>
      </c>
      <c r="H6" s="41">
        <f>テーブル1[[#This Row],[申込数]]/テーブル1[[#This Row],[定員]]</f>
        <v>1</v>
      </c>
      <c r="I6" t="str">
        <f>_xlfn.IFS(テーブル1[[#This Row],[充足率]]&gt;=0.9,"A",テーブル1[[#This Row],[充足率]]&gt;=0.8,"B",TRUE,"C")</f>
        <v>A</v>
      </c>
      <c r="J6" t="str">
        <f>IF(テーブル1[[#This Row],[充足率]]&gt;=0.9,"A",IF(テーブル1[[#This Row],[充足率]]&gt;=0.8,"B","C"))</f>
        <v>A</v>
      </c>
    </row>
    <row r="7" spans="1:10" x14ac:dyDescent="0.55000000000000004">
      <c r="A7" s="14">
        <v>45909</v>
      </c>
      <c r="B7" t="s">
        <v>30</v>
      </c>
      <c r="C7" t="s">
        <v>39</v>
      </c>
      <c r="D7" t="s">
        <v>40</v>
      </c>
      <c r="E7" t="s">
        <v>37</v>
      </c>
      <c r="F7">
        <v>40</v>
      </c>
      <c r="G7">
        <v>40</v>
      </c>
      <c r="H7" s="41">
        <f>テーブル1[[#This Row],[申込数]]/テーブル1[[#This Row],[定員]]</f>
        <v>1</v>
      </c>
      <c r="I7" t="str">
        <f>_xlfn.IFS(テーブル1[[#This Row],[充足率]]&gt;=0.9,"A",テーブル1[[#This Row],[充足率]]&gt;=0.8,"B",TRUE,"C")</f>
        <v>A</v>
      </c>
      <c r="J7" t="str">
        <f>IF(テーブル1[[#This Row],[充足率]]&gt;=0.9,"A",IF(テーブル1[[#This Row],[充足率]]&gt;=0.8,"B","C"))</f>
        <v>A</v>
      </c>
    </row>
    <row r="8" spans="1:10" hidden="1" x14ac:dyDescent="0.55000000000000004">
      <c r="A8" s="14">
        <v>45916</v>
      </c>
      <c r="B8" t="s">
        <v>38</v>
      </c>
      <c r="C8" t="s">
        <v>44</v>
      </c>
      <c r="D8" t="s">
        <v>45</v>
      </c>
      <c r="E8" t="s">
        <v>37</v>
      </c>
      <c r="F8">
        <v>20</v>
      </c>
      <c r="G8">
        <v>20</v>
      </c>
      <c r="H8" s="41">
        <f>テーブル1[[#This Row],[申込数]]/テーブル1[[#This Row],[定員]]</f>
        <v>1</v>
      </c>
      <c r="I8" t="str">
        <f>_xlfn.IFS(テーブル1[[#This Row],[充足率]]&gt;=0.9,"A",テーブル1[[#This Row],[充足率]]&gt;=0.8,"B",TRUE,"C")</f>
        <v>A</v>
      </c>
      <c r="J8" t="str">
        <f>IF(テーブル1[[#This Row],[充足率]]&gt;=0.9,"A",IF(テーブル1[[#This Row],[充足率]]&gt;=0.8,"B","C"))</f>
        <v>A</v>
      </c>
    </row>
    <row r="9" spans="1:10" x14ac:dyDescent="0.55000000000000004">
      <c r="A9" s="14">
        <v>45915</v>
      </c>
      <c r="B9" t="s">
        <v>41</v>
      </c>
      <c r="C9" t="s">
        <v>44</v>
      </c>
      <c r="D9" t="s">
        <v>45</v>
      </c>
      <c r="E9" t="s">
        <v>37</v>
      </c>
      <c r="F9">
        <v>40</v>
      </c>
      <c r="G9">
        <v>37</v>
      </c>
      <c r="H9" s="41">
        <f>テーブル1[[#This Row],[申込数]]/テーブル1[[#This Row],[定員]]</f>
        <v>0.92500000000000004</v>
      </c>
      <c r="I9" t="str">
        <f>_xlfn.IFS(テーブル1[[#This Row],[充足率]]&gt;=0.9,"A",テーブル1[[#This Row],[充足率]]&gt;=0.8,"B",TRUE,"C")</f>
        <v>A</v>
      </c>
      <c r="J9" t="str">
        <f>IF(テーブル1[[#This Row],[充足率]]&gt;=0.9,"A",IF(テーブル1[[#This Row],[充足率]]&gt;=0.8,"B","C"))</f>
        <v>A</v>
      </c>
    </row>
    <row r="10" spans="1:10" hidden="1" x14ac:dyDescent="0.55000000000000004">
      <c r="A10" s="14">
        <v>45901</v>
      </c>
      <c r="B10" t="s">
        <v>38</v>
      </c>
      <c r="C10" t="s">
        <v>39</v>
      </c>
      <c r="D10" t="s">
        <v>40</v>
      </c>
      <c r="E10" t="s">
        <v>37</v>
      </c>
      <c r="F10">
        <v>20</v>
      </c>
      <c r="G10">
        <v>18</v>
      </c>
      <c r="H10" s="41">
        <f>テーブル1[[#This Row],[申込数]]/テーブル1[[#This Row],[定員]]</f>
        <v>0.9</v>
      </c>
      <c r="I10" t="str">
        <f>_xlfn.IFS(テーブル1[[#This Row],[充足率]]&gt;=0.9,"A",テーブル1[[#This Row],[充足率]]&gt;=0.8,"B",TRUE,"C")</f>
        <v>A</v>
      </c>
      <c r="J10" t="str">
        <f>IF(テーブル1[[#This Row],[充足率]]&gt;=0.9,"A",IF(テーブル1[[#This Row],[充足率]]&gt;=0.8,"B","C"))</f>
        <v>A</v>
      </c>
    </row>
    <row r="11" spans="1:10" hidden="1" x14ac:dyDescent="0.55000000000000004">
      <c r="A11" s="14">
        <v>45908</v>
      </c>
      <c r="B11" t="s">
        <v>34</v>
      </c>
      <c r="C11" t="s">
        <v>44</v>
      </c>
      <c r="D11" t="s">
        <v>45</v>
      </c>
      <c r="E11" t="s">
        <v>37</v>
      </c>
      <c r="F11">
        <v>30</v>
      </c>
      <c r="G11">
        <v>25</v>
      </c>
      <c r="H11" s="41">
        <f>テーブル1[[#This Row],[申込数]]/テーブル1[[#This Row],[定員]]</f>
        <v>0.83333333333333337</v>
      </c>
      <c r="I11" t="str">
        <f>_xlfn.IFS(テーブル1[[#This Row],[充足率]]&gt;=0.9,"A",テーブル1[[#This Row],[充足率]]&gt;=0.8,"B",TRUE,"C")</f>
        <v>B</v>
      </c>
      <c r="J11" t="str">
        <f>IF(テーブル1[[#This Row],[充足率]]&gt;=0.9,"A",IF(テーブル1[[#This Row],[充足率]]&gt;=0.8,"B","C"))</f>
        <v>B</v>
      </c>
    </row>
    <row r="12" spans="1:10" hidden="1" x14ac:dyDescent="0.55000000000000004">
      <c r="A12" s="14">
        <v>45909</v>
      </c>
      <c r="B12" t="s">
        <v>41</v>
      </c>
      <c r="C12" t="s">
        <v>35</v>
      </c>
      <c r="D12" t="s">
        <v>36</v>
      </c>
      <c r="E12" t="s">
        <v>37</v>
      </c>
      <c r="F12">
        <v>30</v>
      </c>
      <c r="G12">
        <v>25</v>
      </c>
      <c r="H12" s="41">
        <f>テーブル1[[#This Row],[申込数]]/テーブル1[[#This Row],[定員]]</f>
        <v>0.83333333333333337</v>
      </c>
      <c r="I12" t="str">
        <f>_xlfn.IFS(テーブル1[[#This Row],[充足率]]&gt;=0.9,"A",テーブル1[[#This Row],[充足率]]&gt;=0.8,"B",TRUE,"C")</f>
        <v>B</v>
      </c>
      <c r="J12" t="str">
        <f>IF(テーブル1[[#This Row],[充足率]]&gt;=0.9,"A",IF(テーブル1[[#This Row],[充足率]]&gt;=0.8,"B","C"))</f>
        <v>B</v>
      </c>
    </row>
    <row r="13" spans="1:10" hidden="1" x14ac:dyDescent="0.55000000000000004">
      <c r="A13" s="14">
        <v>45922</v>
      </c>
      <c r="B13" t="s">
        <v>30</v>
      </c>
      <c r="C13" t="s">
        <v>44</v>
      </c>
      <c r="D13" t="s">
        <v>45</v>
      </c>
      <c r="E13" t="s">
        <v>37</v>
      </c>
      <c r="F13">
        <v>40</v>
      </c>
      <c r="G13">
        <v>27</v>
      </c>
      <c r="H13" s="41">
        <f>テーブル1[[#This Row],[申込数]]/テーブル1[[#This Row],[定員]]</f>
        <v>0.67500000000000004</v>
      </c>
      <c r="I13" t="str">
        <f>_xlfn.IFS(テーブル1[[#This Row],[充足率]]&gt;=0.9,"A",テーブル1[[#This Row],[充足率]]&gt;=0.8,"B",TRUE,"C")</f>
        <v>C</v>
      </c>
      <c r="J13" t="str">
        <f>IF(テーブル1[[#This Row],[充足率]]&gt;=0.9,"A",IF(テーブル1[[#This Row],[充足率]]&gt;=0.8,"B","C"))</f>
        <v>C</v>
      </c>
    </row>
    <row r="14" spans="1:10" hidden="1" x14ac:dyDescent="0.55000000000000004">
      <c r="A14" s="14">
        <v>45922</v>
      </c>
      <c r="B14" t="s">
        <v>34</v>
      </c>
      <c r="C14" t="s">
        <v>39</v>
      </c>
      <c r="D14" t="s">
        <v>40</v>
      </c>
      <c r="E14" t="s">
        <v>37</v>
      </c>
      <c r="F14">
        <v>30</v>
      </c>
      <c r="G14">
        <v>18</v>
      </c>
      <c r="H14" s="41">
        <f>テーブル1[[#This Row],[申込数]]/テーブル1[[#This Row],[定員]]</f>
        <v>0.6</v>
      </c>
      <c r="I14" t="str">
        <f>_xlfn.IFS(テーブル1[[#This Row],[充足率]]&gt;=0.9,"A",テーブル1[[#This Row],[充足率]]&gt;=0.8,"B",TRUE,"C")</f>
        <v>C</v>
      </c>
      <c r="J14" t="str">
        <f>IF(テーブル1[[#This Row],[充足率]]&gt;=0.9,"A",IF(テーブル1[[#This Row],[充足率]]&gt;=0.8,"B","C"))</f>
        <v>C</v>
      </c>
    </row>
    <row r="15" spans="1:10" hidden="1" x14ac:dyDescent="0.55000000000000004">
      <c r="A15" s="14">
        <v>45902</v>
      </c>
      <c r="B15" t="s">
        <v>30</v>
      </c>
      <c r="C15" t="s">
        <v>35</v>
      </c>
      <c r="D15" t="s">
        <v>36</v>
      </c>
      <c r="E15" t="s">
        <v>37</v>
      </c>
      <c r="F15">
        <v>40</v>
      </c>
      <c r="G15">
        <v>21</v>
      </c>
      <c r="H15" s="41">
        <f>テーブル1[[#This Row],[申込数]]/テーブル1[[#This Row],[定員]]</f>
        <v>0.52500000000000002</v>
      </c>
      <c r="I15" t="str">
        <f>_xlfn.IFS(テーブル1[[#This Row],[充足率]]&gt;=0.9,"A",テーブル1[[#This Row],[充足率]]&gt;=0.8,"B",TRUE,"C")</f>
        <v>C</v>
      </c>
      <c r="J15" t="str">
        <f>IF(テーブル1[[#This Row],[充足率]]&gt;=0.9,"A",IF(テーブル1[[#This Row],[充足率]]&gt;=0.8,"B","C"))</f>
        <v>C</v>
      </c>
    </row>
    <row r="16" spans="1:10" hidden="1" x14ac:dyDescent="0.55000000000000004">
      <c r="A16" s="14">
        <v>45909</v>
      </c>
      <c r="B16" t="s">
        <v>38</v>
      </c>
      <c r="C16" t="s">
        <v>46</v>
      </c>
      <c r="D16" t="s">
        <v>47</v>
      </c>
      <c r="E16" t="s">
        <v>33</v>
      </c>
      <c r="F16">
        <v>20</v>
      </c>
      <c r="G16">
        <v>20</v>
      </c>
      <c r="H16" s="41">
        <f>テーブル1[[#This Row],[申込数]]/テーブル1[[#This Row],[定員]]</f>
        <v>1</v>
      </c>
      <c r="I16" t="str">
        <f>_xlfn.IFS(テーブル1[[#This Row],[充足率]]&gt;=0.9,"A",テーブル1[[#This Row],[充足率]]&gt;=0.8,"B",TRUE,"C")</f>
        <v>A</v>
      </c>
      <c r="J16" t="str">
        <f>IF(テーブル1[[#This Row],[充足率]]&gt;=0.9,"A",IF(テーブル1[[#This Row],[充足率]]&gt;=0.8,"B","C"))</f>
        <v>A</v>
      </c>
    </row>
    <row r="17" spans="1:10" hidden="1" x14ac:dyDescent="0.55000000000000004">
      <c r="A17" s="14">
        <v>45915</v>
      </c>
      <c r="B17" t="s">
        <v>34</v>
      </c>
      <c r="C17" t="s">
        <v>42</v>
      </c>
      <c r="D17" t="s">
        <v>43</v>
      </c>
      <c r="E17" t="s">
        <v>33</v>
      </c>
      <c r="F17">
        <v>30</v>
      </c>
      <c r="G17">
        <v>30</v>
      </c>
      <c r="H17" s="41">
        <f>テーブル1[[#This Row],[申込数]]/テーブル1[[#This Row],[定員]]</f>
        <v>1</v>
      </c>
      <c r="I17" t="str">
        <f>_xlfn.IFS(テーブル1[[#This Row],[充足率]]&gt;=0.9,"A",テーブル1[[#This Row],[充足率]]&gt;=0.8,"B",TRUE,"C")</f>
        <v>A</v>
      </c>
      <c r="J17" t="str">
        <f>IF(テーブル1[[#This Row],[充足率]]&gt;=0.9,"A",IF(テーブル1[[#This Row],[充足率]]&gt;=0.8,"B","C"))</f>
        <v>A</v>
      </c>
    </row>
    <row r="18" spans="1:10" x14ac:dyDescent="0.55000000000000004">
      <c r="A18" s="14">
        <v>45916</v>
      </c>
      <c r="B18" t="s">
        <v>30</v>
      </c>
      <c r="C18" t="s">
        <v>46</v>
      </c>
      <c r="D18" t="s">
        <v>47</v>
      </c>
      <c r="E18" t="s">
        <v>33</v>
      </c>
      <c r="F18">
        <v>40</v>
      </c>
      <c r="G18">
        <v>40</v>
      </c>
      <c r="H18" s="41">
        <f>テーブル1[[#This Row],[申込数]]/テーブル1[[#This Row],[定員]]</f>
        <v>1</v>
      </c>
      <c r="I18" t="str">
        <f>_xlfn.IFS(テーブル1[[#This Row],[充足率]]&gt;=0.9,"A",テーブル1[[#This Row],[充足率]]&gt;=0.8,"B",TRUE,"C")</f>
        <v>A</v>
      </c>
      <c r="J18" t="str">
        <f>IF(テーブル1[[#This Row],[充足率]]&gt;=0.9,"A",IF(テーブル1[[#This Row],[充足率]]&gt;=0.8,"B","C"))</f>
        <v>A</v>
      </c>
    </row>
    <row r="19" spans="1:10" x14ac:dyDescent="0.55000000000000004">
      <c r="A19" s="14">
        <v>45908</v>
      </c>
      <c r="B19" t="s">
        <v>30</v>
      </c>
      <c r="C19" t="s">
        <v>42</v>
      </c>
      <c r="D19" t="s">
        <v>43</v>
      </c>
      <c r="E19" t="s">
        <v>33</v>
      </c>
      <c r="F19">
        <v>40</v>
      </c>
      <c r="G19">
        <v>38</v>
      </c>
      <c r="H19" s="41">
        <f>テーブル1[[#This Row],[申込数]]/テーブル1[[#This Row],[定員]]</f>
        <v>0.95</v>
      </c>
      <c r="I19" t="str">
        <f>_xlfn.IFS(テーブル1[[#This Row],[充足率]]&gt;=0.9,"A",テーブル1[[#This Row],[充足率]]&gt;=0.8,"B",TRUE,"C")</f>
        <v>A</v>
      </c>
      <c r="J19" t="str">
        <f>IF(テーブル1[[#This Row],[充足率]]&gt;=0.9,"A",IF(テーブル1[[#This Row],[充足率]]&gt;=0.8,"B","C"))</f>
        <v>A</v>
      </c>
    </row>
    <row r="20" spans="1:10" hidden="1" x14ac:dyDescent="0.55000000000000004">
      <c r="A20" s="14">
        <v>45908</v>
      </c>
      <c r="B20" t="s">
        <v>38</v>
      </c>
      <c r="C20" t="s">
        <v>31</v>
      </c>
      <c r="D20" t="s">
        <v>32</v>
      </c>
      <c r="E20" t="s">
        <v>33</v>
      </c>
      <c r="F20">
        <v>20</v>
      </c>
      <c r="G20">
        <v>19</v>
      </c>
      <c r="H20" s="41">
        <f>テーブル1[[#This Row],[申込数]]/テーブル1[[#This Row],[定員]]</f>
        <v>0.95</v>
      </c>
      <c r="I20" t="str">
        <f>_xlfn.IFS(テーブル1[[#This Row],[充足率]]&gt;=0.9,"A",テーブル1[[#This Row],[充足率]]&gt;=0.8,"B",TRUE,"C")</f>
        <v>A</v>
      </c>
      <c r="J20" t="str">
        <f>IF(テーブル1[[#This Row],[充足率]]&gt;=0.9,"A",IF(テーブル1[[#This Row],[充足率]]&gt;=0.8,"B","C"))</f>
        <v>A</v>
      </c>
    </row>
    <row r="21" spans="1:10" hidden="1" x14ac:dyDescent="0.55000000000000004">
      <c r="A21" s="14">
        <v>45902</v>
      </c>
      <c r="B21" t="s">
        <v>34</v>
      </c>
      <c r="C21" t="s">
        <v>31</v>
      </c>
      <c r="D21" t="s">
        <v>32</v>
      </c>
      <c r="E21" t="s">
        <v>33</v>
      </c>
      <c r="F21">
        <v>30</v>
      </c>
      <c r="G21">
        <v>28</v>
      </c>
      <c r="H21" s="41">
        <f>テーブル1[[#This Row],[申込数]]/テーブル1[[#This Row],[定員]]</f>
        <v>0.93333333333333335</v>
      </c>
      <c r="I21" t="str">
        <f>_xlfn.IFS(テーブル1[[#This Row],[充足率]]&gt;=0.9,"A",テーブル1[[#This Row],[充足率]]&gt;=0.8,"B",TRUE,"C")</f>
        <v>A</v>
      </c>
      <c r="J21" t="str">
        <f>IF(テーブル1[[#This Row],[充足率]]&gt;=0.9,"A",IF(テーブル1[[#This Row],[充足率]]&gt;=0.8,"B","C"))</f>
        <v>A</v>
      </c>
    </row>
    <row r="22" spans="1:10" x14ac:dyDescent="0.55000000000000004">
      <c r="A22" s="14">
        <v>45923</v>
      </c>
      <c r="B22" t="s">
        <v>41</v>
      </c>
      <c r="C22" t="s">
        <v>42</v>
      </c>
      <c r="D22" t="s">
        <v>43</v>
      </c>
      <c r="E22" t="s">
        <v>33</v>
      </c>
      <c r="F22">
        <v>30</v>
      </c>
      <c r="G22">
        <v>28</v>
      </c>
      <c r="H22" s="41">
        <f>テーブル1[[#This Row],[申込数]]/テーブル1[[#This Row],[定員]]</f>
        <v>0.93333333333333335</v>
      </c>
      <c r="I22" t="str">
        <f>_xlfn.IFS(テーブル1[[#This Row],[充足率]]&gt;=0.9,"A",テーブル1[[#This Row],[充足率]]&gt;=0.8,"B",TRUE,"C")</f>
        <v>A</v>
      </c>
      <c r="J22" t="str">
        <f>IF(テーブル1[[#This Row],[充足率]]&gt;=0.9,"A",IF(テーブル1[[#This Row],[充足率]]&gt;=0.8,"B","C"))</f>
        <v>A</v>
      </c>
    </row>
    <row r="23" spans="1:10" x14ac:dyDescent="0.55000000000000004">
      <c r="A23" s="14">
        <v>45901</v>
      </c>
      <c r="B23" t="s">
        <v>30</v>
      </c>
      <c r="C23" t="s">
        <v>31</v>
      </c>
      <c r="D23" t="s">
        <v>32</v>
      </c>
      <c r="E23" t="s">
        <v>33</v>
      </c>
      <c r="F23">
        <v>40</v>
      </c>
      <c r="G23">
        <v>36</v>
      </c>
      <c r="H23" s="41">
        <f>テーブル1[[#This Row],[申込数]]/テーブル1[[#This Row],[定員]]</f>
        <v>0.9</v>
      </c>
      <c r="I23" t="str">
        <f>_xlfn.IFS(テーブル1[[#This Row],[充足率]]&gt;=0.9,"A",テーブル1[[#This Row],[充足率]]&gt;=0.8,"B",TRUE,"C")</f>
        <v>A</v>
      </c>
      <c r="J23" t="str">
        <f>IF(テーブル1[[#This Row],[充足率]]&gt;=0.9,"A",IF(テーブル1[[#This Row],[充足率]]&gt;=0.8,"B","C"))</f>
        <v>A</v>
      </c>
    </row>
    <row r="24" spans="1:10" hidden="1" x14ac:dyDescent="0.55000000000000004">
      <c r="A24" s="14">
        <v>45916</v>
      </c>
      <c r="B24" t="s">
        <v>41</v>
      </c>
      <c r="C24" t="s">
        <v>31</v>
      </c>
      <c r="D24" t="s">
        <v>32</v>
      </c>
      <c r="E24" t="s">
        <v>33</v>
      </c>
      <c r="F24">
        <v>30</v>
      </c>
      <c r="G24">
        <v>24</v>
      </c>
      <c r="H24" s="41">
        <f>テーブル1[[#This Row],[申込数]]/テーブル1[[#This Row],[定員]]</f>
        <v>0.8</v>
      </c>
      <c r="I24" t="str">
        <f>_xlfn.IFS(テーブル1[[#This Row],[充足率]]&gt;=0.9,"A",テーブル1[[#This Row],[充足率]]&gt;=0.8,"B",TRUE,"C")</f>
        <v>B</v>
      </c>
      <c r="J24" t="str">
        <f>IF(テーブル1[[#This Row],[充足率]]&gt;=0.9,"A",IF(テーブル1[[#This Row],[充足率]]&gt;=0.8,"B","C"))</f>
        <v>B</v>
      </c>
    </row>
    <row r="25" spans="1:10" hidden="1" x14ac:dyDescent="0.55000000000000004">
      <c r="A25" s="14">
        <v>45923</v>
      </c>
      <c r="B25" t="s">
        <v>48</v>
      </c>
      <c r="C25" t="s">
        <v>46</v>
      </c>
      <c r="D25" t="s">
        <v>47</v>
      </c>
      <c r="E25" t="s">
        <v>33</v>
      </c>
      <c r="F25">
        <v>40</v>
      </c>
      <c r="G25">
        <v>32</v>
      </c>
      <c r="H25" s="41">
        <f>テーブル1[[#This Row],[申込数]]/テーブル1[[#This Row],[定員]]</f>
        <v>0.8</v>
      </c>
      <c r="I25" t="str">
        <f>_xlfn.IFS(テーブル1[[#This Row],[充足率]]&gt;=0.9,"A",テーブル1[[#This Row],[充足率]]&gt;=0.8,"B",TRUE,"C")</f>
        <v>B</v>
      </c>
      <c r="J25" t="str">
        <f>IF(テーブル1[[#This Row],[充足率]]&gt;=0.9,"A",IF(テーブル1[[#This Row],[充足率]]&gt;=0.8,"B","C"))</f>
        <v>B</v>
      </c>
    </row>
    <row r="26" spans="1:10" hidden="1" x14ac:dyDescent="0.55000000000000004">
      <c r="A26" s="14">
        <v>45908</v>
      </c>
      <c r="B26" t="s">
        <v>41</v>
      </c>
      <c r="C26" t="s">
        <v>46</v>
      </c>
      <c r="D26" t="s">
        <v>47</v>
      </c>
      <c r="E26" t="s">
        <v>33</v>
      </c>
      <c r="F26">
        <v>30</v>
      </c>
      <c r="G26">
        <v>22</v>
      </c>
      <c r="H26" s="41">
        <f>テーブル1[[#This Row],[申込数]]/テーブル1[[#This Row],[定員]]</f>
        <v>0.73333333333333328</v>
      </c>
      <c r="I26" t="str">
        <f>_xlfn.IFS(テーブル1[[#This Row],[充足率]]&gt;=0.9,"A",テーブル1[[#This Row],[充足率]]&gt;=0.8,"B",TRUE,"C")</f>
        <v>C</v>
      </c>
      <c r="J26" t="str">
        <f>IF(テーブル1[[#This Row],[充足率]]&gt;=0.9,"A",IF(テーブル1[[#This Row],[充足率]]&gt;=0.8,"B","C"))</f>
        <v>C</v>
      </c>
    </row>
    <row r="27" spans="1:10" hidden="1" x14ac:dyDescent="0.55000000000000004">
      <c r="A27" s="14">
        <v>45922</v>
      </c>
      <c r="B27" t="s">
        <v>38</v>
      </c>
      <c r="C27" t="s">
        <v>42</v>
      </c>
      <c r="D27" t="s">
        <v>43</v>
      </c>
      <c r="E27" t="s">
        <v>33</v>
      </c>
      <c r="F27">
        <v>20</v>
      </c>
      <c r="G27">
        <v>13</v>
      </c>
      <c r="H27" s="41">
        <f>テーブル1[[#This Row],[申込数]]/テーブル1[[#This Row],[定員]]</f>
        <v>0.65</v>
      </c>
      <c r="I27" t="str">
        <f>_xlfn.IFS(テーブル1[[#This Row],[充足率]]&gt;=0.9,"A",テーブル1[[#This Row],[充足率]]&gt;=0.8,"B",TRUE,"C")</f>
        <v>C</v>
      </c>
      <c r="J27" t="str">
        <f>IF(テーブル1[[#This Row],[充足率]]&gt;=0.9,"A",IF(テーブル1[[#This Row],[充足率]]&gt;=0.8,"B","C"))</f>
        <v>C</v>
      </c>
    </row>
  </sheetData>
  <mergeCells count="1">
    <mergeCell ref="A1:H1"/>
  </mergeCells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2771-B5C6-4E0E-BF06-38806E48D0AF}">
  <dimension ref="A1:I36"/>
  <sheetViews>
    <sheetView tabSelected="1" topLeftCell="A16" zoomScaleNormal="100" workbookViewId="0">
      <selection activeCell="A25" sqref="A25"/>
    </sheetView>
  </sheetViews>
  <sheetFormatPr defaultRowHeight="18" x14ac:dyDescent="0.55000000000000004"/>
  <cols>
    <col min="1" max="1" width="16.5" bestFit="1" customWidth="1"/>
    <col min="2" max="2" width="10.75" bestFit="1" customWidth="1"/>
    <col min="3" max="3" width="4.25" bestFit="1" customWidth="1"/>
    <col min="4" max="4" width="5" bestFit="1" customWidth="1"/>
    <col min="5" max="5" width="10.4140625" bestFit="1" customWidth="1"/>
    <col min="6" max="6" width="6.6640625" bestFit="1" customWidth="1"/>
    <col min="7" max="8" width="10.4140625" bestFit="1" customWidth="1"/>
    <col min="9" max="9" width="4.83203125" bestFit="1" customWidth="1"/>
  </cols>
  <sheetData>
    <row r="1" spans="1:9" ht="22.5" x14ac:dyDescent="0.55000000000000004">
      <c r="A1" s="1" t="s">
        <v>0</v>
      </c>
    </row>
    <row r="3" spans="1:9" ht="18.5" thickBot="1" x14ac:dyDescent="0.6">
      <c r="A3" t="s">
        <v>1</v>
      </c>
    </row>
    <row r="4" spans="1:9" x14ac:dyDescent="0.55000000000000004">
      <c r="A4" s="2" t="s">
        <v>2</v>
      </c>
      <c r="B4" s="3" t="s">
        <v>3</v>
      </c>
      <c r="C4" s="3" t="s">
        <v>19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</row>
    <row r="5" spans="1:9" x14ac:dyDescent="0.55000000000000004">
      <c r="A5" s="5">
        <v>4</v>
      </c>
      <c r="B5" s="6" t="s">
        <v>10</v>
      </c>
      <c r="C5" s="6" t="s">
        <v>11</v>
      </c>
      <c r="D5" s="6">
        <v>15</v>
      </c>
      <c r="E5" s="6">
        <v>16</v>
      </c>
      <c r="F5" s="7" cm="1">
        <f t="array" ref="F5:F22">E5:E22/D5:D22</f>
        <v>1.0666666666666667</v>
      </c>
      <c r="G5" s="6">
        <v>17</v>
      </c>
      <c r="H5" s="7" cm="1">
        <f t="array" ref="H5:H22">E5:E22/G5:G22</f>
        <v>0.94117647058823528</v>
      </c>
      <c r="I5" s="9" t="str">
        <f>_xlfn.IFS(AND(F5&gt;=1,H5&gt;=1),"A",OR(F5&gt;=1,H5&gt;=1),"B",TRUE,"C")</f>
        <v>B</v>
      </c>
    </row>
    <row r="6" spans="1:9" x14ac:dyDescent="0.55000000000000004">
      <c r="A6" s="5">
        <v>4</v>
      </c>
      <c r="B6" s="6" t="s">
        <v>10</v>
      </c>
      <c r="C6" s="6" t="s">
        <v>12</v>
      </c>
      <c r="D6" s="6">
        <v>19</v>
      </c>
      <c r="E6" s="6">
        <v>19</v>
      </c>
      <c r="F6" s="7">
        <v>1</v>
      </c>
      <c r="G6" s="6">
        <v>17</v>
      </c>
      <c r="H6" s="7">
        <v>1.1176470588235294</v>
      </c>
      <c r="I6" s="9" t="str">
        <f t="shared" ref="I6:I22" si="0">_xlfn.IFS(AND(F6&gt;=1,H6&gt;=1),"A",OR(F6&gt;=1,H6&gt;=1),"B",TRUE,"C")</f>
        <v>A</v>
      </c>
    </row>
    <row r="7" spans="1:9" x14ac:dyDescent="0.55000000000000004">
      <c r="A7" s="5">
        <v>4</v>
      </c>
      <c r="B7" s="6" t="s">
        <v>13</v>
      </c>
      <c r="C7" s="6" t="s">
        <v>14</v>
      </c>
      <c r="D7" s="6">
        <v>15</v>
      </c>
      <c r="E7" s="6">
        <v>11</v>
      </c>
      <c r="F7" s="7">
        <v>0.73333333333333328</v>
      </c>
      <c r="G7" s="6">
        <v>12</v>
      </c>
      <c r="H7" s="7">
        <v>0.91666666666666663</v>
      </c>
      <c r="I7" s="9" t="str">
        <f t="shared" si="0"/>
        <v>C</v>
      </c>
    </row>
    <row r="8" spans="1:9" x14ac:dyDescent="0.55000000000000004">
      <c r="A8" s="5">
        <v>4</v>
      </c>
      <c r="B8" s="6" t="s">
        <v>13</v>
      </c>
      <c r="C8" s="6" t="s">
        <v>15</v>
      </c>
      <c r="D8" s="6">
        <v>20</v>
      </c>
      <c r="E8" s="6">
        <v>18</v>
      </c>
      <c r="F8" s="7">
        <v>0.9</v>
      </c>
      <c r="G8" s="6">
        <v>12</v>
      </c>
      <c r="H8" s="7">
        <v>1.5</v>
      </c>
      <c r="I8" s="9" t="str">
        <f t="shared" si="0"/>
        <v>B</v>
      </c>
    </row>
    <row r="9" spans="1:9" x14ac:dyDescent="0.55000000000000004">
      <c r="A9" s="5">
        <v>4</v>
      </c>
      <c r="B9" s="6" t="s">
        <v>16</v>
      </c>
      <c r="C9" s="6" t="s">
        <v>17</v>
      </c>
      <c r="D9" s="6">
        <v>10</v>
      </c>
      <c r="E9" s="6">
        <v>12</v>
      </c>
      <c r="F9" s="7">
        <v>1.2</v>
      </c>
      <c r="G9" s="6">
        <v>8</v>
      </c>
      <c r="H9" s="7">
        <v>1.5</v>
      </c>
      <c r="I9" s="9" t="str">
        <f t="shared" si="0"/>
        <v>A</v>
      </c>
    </row>
    <row r="10" spans="1:9" x14ac:dyDescent="0.55000000000000004">
      <c r="A10" s="5">
        <v>4</v>
      </c>
      <c r="B10" s="6" t="s">
        <v>16</v>
      </c>
      <c r="C10" s="6" t="s">
        <v>18</v>
      </c>
      <c r="D10" s="6">
        <v>13</v>
      </c>
      <c r="E10" s="6">
        <v>13</v>
      </c>
      <c r="F10" s="7">
        <v>1</v>
      </c>
      <c r="G10" s="6">
        <v>13</v>
      </c>
      <c r="H10" s="7">
        <v>1</v>
      </c>
      <c r="I10" s="9" t="str">
        <f t="shared" si="0"/>
        <v>A</v>
      </c>
    </row>
    <row r="11" spans="1:9" x14ac:dyDescent="0.55000000000000004">
      <c r="A11" s="5">
        <v>5</v>
      </c>
      <c r="B11" s="6" t="s">
        <v>10</v>
      </c>
      <c r="C11" s="6" t="s">
        <v>11</v>
      </c>
      <c r="D11" s="6">
        <v>18</v>
      </c>
      <c r="E11" s="6">
        <v>17</v>
      </c>
      <c r="F11" s="7">
        <v>0.94444444444444442</v>
      </c>
      <c r="G11" s="6">
        <v>16</v>
      </c>
      <c r="H11" s="7">
        <v>1.0625</v>
      </c>
      <c r="I11" s="9" t="str">
        <f t="shared" si="0"/>
        <v>B</v>
      </c>
    </row>
    <row r="12" spans="1:9" x14ac:dyDescent="0.55000000000000004">
      <c r="A12" s="5">
        <v>5</v>
      </c>
      <c r="B12" s="6" t="s">
        <v>10</v>
      </c>
      <c r="C12" s="6" t="s">
        <v>12</v>
      </c>
      <c r="D12" s="6">
        <v>19</v>
      </c>
      <c r="E12" s="6">
        <v>20</v>
      </c>
      <c r="F12" s="7">
        <v>1.0526315789473684</v>
      </c>
      <c r="G12" s="6">
        <v>17</v>
      </c>
      <c r="H12" s="7">
        <v>1.1764705882352942</v>
      </c>
      <c r="I12" s="9" t="str">
        <f t="shared" si="0"/>
        <v>A</v>
      </c>
    </row>
    <row r="13" spans="1:9" x14ac:dyDescent="0.55000000000000004">
      <c r="A13" s="5">
        <v>5</v>
      </c>
      <c r="B13" s="6" t="s">
        <v>13</v>
      </c>
      <c r="C13" s="6" t="s">
        <v>14</v>
      </c>
      <c r="D13" s="6">
        <v>13</v>
      </c>
      <c r="E13" s="6">
        <v>13</v>
      </c>
      <c r="F13" s="7">
        <v>1</v>
      </c>
      <c r="G13" s="6">
        <v>11</v>
      </c>
      <c r="H13" s="7">
        <v>1.1818181818181819</v>
      </c>
      <c r="I13" s="9" t="str">
        <f t="shared" si="0"/>
        <v>A</v>
      </c>
    </row>
    <row r="14" spans="1:9" x14ac:dyDescent="0.55000000000000004">
      <c r="A14" s="5">
        <v>5</v>
      </c>
      <c r="B14" s="6" t="s">
        <v>13</v>
      </c>
      <c r="C14" s="6" t="s">
        <v>15</v>
      </c>
      <c r="D14" s="6">
        <v>18</v>
      </c>
      <c r="E14" s="6">
        <v>11</v>
      </c>
      <c r="F14" s="7">
        <v>0.61111111111111116</v>
      </c>
      <c r="G14" s="6">
        <v>15</v>
      </c>
      <c r="H14" s="7">
        <v>0.73333333333333328</v>
      </c>
      <c r="I14" s="9" t="str">
        <f t="shared" si="0"/>
        <v>C</v>
      </c>
    </row>
    <row r="15" spans="1:9" x14ac:dyDescent="0.55000000000000004">
      <c r="A15" s="5">
        <v>5</v>
      </c>
      <c r="B15" s="6" t="s">
        <v>16</v>
      </c>
      <c r="C15" s="6" t="s">
        <v>17</v>
      </c>
      <c r="D15" s="6">
        <v>13</v>
      </c>
      <c r="E15" s="6">
        <v>11</v>
      </c>
      <c r="F15" s="7">
        <v>0.84615384615384615</v>
      </c>
      <c r="G15" s="6">
        <v>10</v>
      </c>
      <c r="H15" s="7">
        <v>1.1000000000000001</v>
      </c>
      <c r="I15" s="9" t="str">
        <f t="shared" si="0"/>
        <v>B</v>
      </c>
    </row>
    <row r="16" spans="1:9" x14ac:dyDescent="0.55000000000000004">
      <c r="A16" s="5">
        <v>5</v>
      </c>
      <c r="B16" s="6" t="s">
        <v>16</v>
      </c>
      <c r="C16" s="6" t="s">
        <v>18</v>
      </c>
      <c r="D16" s="6">
        <v>17</v>
      </c>
      <c r="E16" s="6">
        <v>17</v>
      </c>
      <c r="F16" s="7">
        <v>1</v>
      </c>
      <c r="G16" s="6">
        <v>15</v>
      </c>
      <c r="H16" s="7">
        <v>1.1333333333333333</v>
      </c>
      <c r="I16" s="9" t="str">
        <f t="shared" si="0"/>
        <v>A</v>
      </c>
    </row>
    <row r="17" spans="1:9" x14ac:dyDescent="0.55000000000000004">
      <c r="A17" s="5">
        <v>6</v>
      </c>
      <c r="B17" s="6" t="s">
        <v>10</v>
      </c>
      <c r="C17" s="6" t="s">
        <v>11</v>
      </c>
      <c r="D17" s="6">
        <v>20</v>
      </c>
      <c r="E17" s="6">
        <v>18</v>
      </c>
      <c r="F17" s="7">
        <v>0.9</v>
      </c>
      <c r="G17" s="6">
        <v>17</v>
      </c>
      <c r="H17" s="7">
        <v>1.0588235294117647</v>
      </c>
      <c r="I17" s="9" t="str">
        <f t="shared" si="0"/>
        <v>B</v>
      </c>
    </row>
    <row r="18" spans="1:9" x14ac:dyDescent="0.55000000000000004">
      <c r="A18" s="5">
        <v>6</v>
      </c>
      <c r="B18" s="6" t="s">
        <v>10</v>
      </c>
      <c r="C18" s="6" t="s">
        <v>12</v>
      </c>
      <c r="D18" s="6">
        <v>15</v>
      </c>
      <c r="E18" s="6">
        <v>15</v>
      </c>
      <c r="F18" s="7">
        <v>1</v>
      </c>
      <c r="G18" s="6">
        <v>14</v>
      </c>
      <c r="H18" s="7">
        <v>1.0714285714285714</v>
      </c>
      <c r="I18" s="9" t="str">
        <f t="shared" si="0"/>
        <v>A</v>
      </c>
    </row>
    <row r="19" spans="1:9" x14ac:dyDescent="0.55000000000000004">
      <c r="A19" s="5">
        <v>6</v>
      </c>
      <c r="B19" s="6" t="s">
        <v>13</v>
      </c>
      <c r="C19" s="6" t="s">
        <v>14</v>
      </c>
      <c r="D19" s="6">
        <v>11</v>
      </c>
      <c r="E19" s="6">
        <v>10</v>
      </c>
      <c r="F19" s="7">
        <v>0.90909090909090906</v>
      </c>
      <c r="G19" s="6">
        <v>11</v>
      </c>
      <c r="H19" s="7">
        <v>0.90909090909090906</v>
      </c>
      <c r="I19" s="9" t="str">
        <f t="shared" si="0"/>
        <v>C</v>
      </c>
    </row>
    <row r="20" spans="1:9" x14ac:dyDescent="0.55000000000000004">
      <c r="A20" s="5">
        <v>6</v>
      </c>
      <c r="B20" s="6" t="s">
        <v>13</v>
      </c>
      <c r="C20" s="6" t="s">
        <v>15</v>
      </c>
      <c r="D20" s="6">
        <v>15</v>
      </c>
      <c r="E20" s="6">
        <v>18</v>
      </c>
      <c r="F20" s="7">
        <v>1.2</v>
      </c>
      <c r="G20" s="6">
        <v>13</v>
      </c>
      <c r="H20" s="7">
        <v>1.3846153846153846</v>
      </c>
      <c r="I20" s="9" t="str">
        <f t="shared" si="0"/>
        <v>A</v>
      </c>
    </row>
    <row r="21" spans="1:9" x14ac:dyDescent="0.55000000000000004">
      <c r="A21" s="5">
        <v>6</v>
      </c>
      <c r="B21" s="6" t="s">
        <v>16</v>
      </c>
      <c r="C21" s="6" t="s">
        <v>17</v>
      </c>
      <c r="D21" s="6">
        <v>11</v>
      </c>
      <c r="E21" s="6">
        <v>12</v>
      </c>
      <c r="F21" s="7">
        <v>1.0909090909090908</v>
      </c>
      <c r="G21" s="6">
        <v>10</v>
      </c>
      <c r="H21" s="7">
        <v>1.2</v>
      </c>
      <c r="I21" s="9" t="str">
        <f t="shared" si="0"/>
        <v>A</v>
      </c>
    </row>
    <row r="22" spans="1:9" ht="18.5" thickBot="1" x14ac:dyDescent="0.6">
      <c r="A22" s="10">
        <v>6</v>
      </c>
      <c r="B22" s="11" t="s">
        <v>16</v>
      </c>
      <c r="C22" s="11" t="s">
        <v>18</v>
      </c>
      <c r="D22" s="11">
        <v>10</v>
      </c>
      <c r="E22" s="11">
        <v>9</v>
      </c>
      <c r="F22" s="8">
        <v>0.9</v>
      </c>
      <c r="G22" s="11">
        <v>9</v>
      </c>
      <c r="H22" s="8">
        <v>1</v>
      </c>
      <c r="I22" s="12" t="str">
        <f t="shared" si="0"/>
        <v>B</v>
      </c>
    </row>
    <row r="24" spans="1:9" x14ac:dyDescent="0.55000000000000004">
      <c r="A24" t="s">
        <v>20</v>
      </c>
    </row>
    <row r="25" spans="1:9" x14ac:dyDescent="0.55000000000000004">
      <c r="A25" s="43" t="s">
        <v>99</v>
      </c>
      <c r="B25" s="43" t="s">
        <v>98</v>
      </c>
    </row>
    <row r="26" spans="1:9" x14ac:dyDescent="0.55000000000000004">
      <c r="A26" s="43" t="s">
        <v>90</v>
      </c>
      <c r="B26" s="45">
        <v>4</v>
      </c>
      <c r="C26" s="45">
        <v>6</v>
      </c>
      <c r="D26" s="45" t="s">
        <v>97</v>
      </c>
    </row>
    <row r="27" spans="1:9" x14ac:dyDescent="0.55000000000000004">
      <c r="A27" s="44" t="s">
        <v>102</v>
      </c>
      <c r="B27" s="46">
        <v>35</v>
      </c>
      <c r="C27" s="46">
        <v>33</v>
      </c>
      <c r="D27" s="46">
        <v>68</v>
      </c>
    </row>
    <row r="28" spans="1:9" x14ac:dyDescent="0.55000000000000004">
      <c r="A28" s="47" t="s">
        <v>95</v>
      </c>
      <c r="B28" s="46">
        <v>19</v>
      </c>
      <c r="C28" s="46">
        <v>15</v>
      </c>
      <c r="D28" s="46">
        <v>34</v>
      </c>
    </row>
    <row r="29" spans="1:9" x14ac:dyDescent="0.55000000000000004">
      <c r="A29" s="47" t="s">
        <v>96</v>
      </c>
      <c r="B29" s="46">
        <v>16</v>
      </c>
      <c r="C29" s="46">
        <v>18</v>
      </c>
      <c r="D29" s="46">
        <v>34</v>
      </c>
    </row>
    <row r="30" spans="1:9" x14ac:dyDescent="0.55000000000000004">
      <c r="A30" s="44" t="s">
        <v>101</v>
      </c>
      <c r="B30" s="46">
        <v>25</v>
      </c>
      <c r="C30" s="46">
        <v>21</v>
      </c>
      <c r="D30" s="46">
        <v>46</v>
      </c>
    </row>
    <row r="31" spans="1:9" x14ac:dyDescent="0.55000000000000004">
      <c r="A31" s="47" t="s">
        <v>91</v>
      </c>
      <c r="B31" s="46">
        <v>12</v>
      </c>
      <c r="C31" s="46">
        <v>12</v>
      </c>
      <c r="D31" s="46">
        <v>24</v>
      </c>
    </row>
    <row r="32" spans="1:9" x14ac:dyDescent="0.55000000000000004">
      <c r="A32" s="47" t="s">
        <v>93</v>
      </c>
      <c r="B32" s="46">
        <v>13</v>
      </c>
      <c r="C32" s="46">
        <v>9</v>
      </c>
      <c r="D32" s="46">
        <v>22</v>
      </c>
    </row>
    <row r="33" spans="1:4" x14ac:dyDescent="0.55000000000000004">
      <c r="A33" s="44" t="s">
        <v>100</v>
      </c>
      <c r="B33" s="46">
        <v>29</v>
      </c>
      <c r="C33" s="46">
        <v>28</v>
      </c>
      <c r="D33" s="46">
        <v>57</v>
      </c>
    </row>
    <row r="34" spans="1:4" x14ac:dyDescent="0.55000000000000004">
      <c r="A34" s="47" t="s">
        <v>92</v>
      </c>
      <c r="B34" s="46">
        <v>18</v>
      </c>
      <c r="C34" s="46">
        <v>18</v>
      </c>
      <c r="D34" s="46">
        <v>36</v>
      </c>
    </row>
    <row r="35" spans="1:4" x14ac:dyDescent="0.55000000000000004">
      <c r="A35" s="47" t="s">
        <v>94</v>
      </c>
      <c r="B35" s="46">
        <v>11</v>
      </c>
      <c r="C35" s="46">
        <v>10</v>
      </c>
      <c r="D35" s="46">
        <v>21</v>
      </c>
    </row>
    <row r="36" spans="1:4" x14ac:dyDescent="0.55000000000000004">
      <c r="A36" s="44" t="s">
        <v>97</v>
      </c>
      <c r="B36" s="46">
        <v>89</v>
      </c>
      <c r="C36" s="46">
        <v>82</v>
      </c>
      <c r="D36" s="46">
        <v>171</v>
      </c>
    </row>
  </sheetData>
  <phoneticPr fontId="1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関数・セル</vt:lpstr>
      <vt:lpstr>テーブル</vt:lpstr>
      <vt:lpstr>ピボットテーブル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2021-12-20T23:24:29Z</dcterms:created>
  <dcterms:modified xsi:type="dcterms:W3CDTF">2026-01-16T01:49:51Z</dcterms:modified>
</cp:coreProperties>
</file>